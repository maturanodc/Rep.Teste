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itri\Desktop\pessoal\Escola\5o semestre\EAE 324, econometria 1\trabson\"/>
    </mc:Choice>
  </mc:AlternateContent>
  <xr:revisionPtr revIDLastSave="0" documentId="13_ncr:1_{E26ADDA6-71A9-4E17-8CDE-7F4755FA9D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94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K19" i="1" s="1"/>
  <c r="M20" i="1"/>
  <c r="M21" i="1"/>
  <c r="M22" i="1"/>
  <c r="M23" i="1"/>
  <c r="M24" i="1"/>
  <c r="M25" i="1"/>
  <c r="M27" i="1"/>
  <c r="M28" i="1"/>
  <c r="M29" i="1"/>
  <c r="M30" i="1"/>
  <c r="M31" i="1"/>
  <c r="M32" i="1"/>
  <c r="M33" i="1"/>
  <c r="M34" i="1"/>
  <c r="M35" i="1"/>
  <c r="M37" i="1"/>
  <c r="M38" i="1"/>
  <c r="K38" i="1" s="1"/>
  <c r="M39" i="1"/>
  <c r="M40" i="1"/>
  <c r="M41" i="1"/>
  <c r="M42" i="1"/>
  <c r="M43" i="1"/>
  <c r="M44" i="1"/>
  <c r="M45" i="1"/>
  <c r="M46" i="1"/>
  <c r="M47" i="1"/>
  <c r="M48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8" i="1"/>
  <c r="M69" i="1"/>
  <c r="M70" i="1"/>
  <c r="M71" i="1"/>
  <c r="M72" i="1"/>
  <c r="M74" i="1"/>
  <c r="M75" i="1"/>
  <c r="M76" i="1"/>
  <c r="M77" i="1"/>
  <c r="M78" i="1"/>
  <c r="M79" i="1"/>
  <c r="M81" i="1"/>
  <c r="M83" i="1"/>
  <c r="M85" i="1"/>
  <c r="M86" i="1"/>
  <c r="M87" i="1"/>
  <c r="M88" i="1"/>
  <c r="M89" i="1"/>
  <c r="K89" i="1" s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3" i="1"/>
  <c r="M115" i="1"/>
  <c r="M116" i="1"/>
  <c r="M117" i="1"/>
  <c r="M118" i="1"/>
  <c r="M119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M141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1" i="1"/>
  <c r="M162" i="1"/>
  <c r="M164" i="1"/>
  <c r="M165" i="1"/>
  <c r="M166" i="1"/>
  <c r="M167" i="1"/>
  <c r="M168" i="1"/>
  <c r="M169" i="1"/>
  <c r="M170" i="1"/>
  <c r="M172" i="1"/>
  <c r="M173" i="1"/>
  <c r="M174" i="1"/>
  <c r="M175" i="1"/>
  <c r="K175" i="1" s="1"/>
  <c r="M177" i="1"/>
  <c r="M179" i="1"/>
  <c r="M180" i="1"/>
  <c r="M181" i="1"/>
  <c r="K181" i="1" s="1"/>
  <c r="M182" i="1"/>
  <c r="M183" i="1"/>
  <c r="M184" i="1"/>
  <c r="M186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10" i="1"/>
  <c r="M211" i="1"/>
  <c r="M212" i="1"/>
  <c r="M214" i="1"/>
  <c r="M215" i="1"/>
  <c r="M216" i="1"/>
  <c r="M217" i="1"/>
  <c r="M3" i="1"/>
  <c r="K3" i="1" s="1"/>
  <c r="O171" i="1"/>
  <c r="M17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tc={264069B1-629E-4551-9B0E-5937987C2C5E}</author>
    <author>tc={EEE633D7-4655-46DE-80EF-35CD034078A8}</author>
    <author>tc={209BBDCE-0E4F-47D3-AF87-711F241D0B8A}</author>
    <author>tc={F30484A3-89A4-4BFE-B444-A8D9C5B00C57}</author>
    <author>tc={3B63264E-B097-49DA-B0F9-0F4C15359190}</author>
    <author>tc={06C35383-CA17-4958-B23F-2968C8A94BCD}</author>
    <author>tc={6E2CD842-2BD9-4332-8B26-2546EFD4703F}</author>
    <author>tc={29899DDA-1DFE-4676-A87D-420B2CB25646}</author>
    <author>tc={FF1BE0A0-AEBF-4EC0-9B67-C0E54DA0EC49}</author>
    <author>tc={26FE45D6-A229-43F2-BE60-02901FA36CC2}</author>
    <author>tc={6C3DF0BC-9AA5-4954-ADFD-20287414D516}</author>
    <author>tc={72DEDD6C-A58D-427F-AA70-BBC08AB7F12A}</author>
    <author>tc={E5909094-E777-4910-9D2F-07CBFB5CED4A}</author>
    <author>tc={CC3494CF-E604-4ACF-93AF-FD52E46B0EE7}</author>
    <author>tc={722D3CCC-6F68-48AA-8F99-E99C532B286A}</author>
    <author>tc={25CFED68-58E6-4662-B7B0-4F6C94B66F4F}</author>
    <author>tc={ABF51941-1305-43A7-9A9B-2AA64C683497}</author>
    <author>tc={F12D0C29-31C4-4DFA-A11F-087E4B87378A}</author>
    <author>tc={92CE8F79-FF09-4CB4-BEFD-462E77A376D6}</author>
    <author>tc={A9E4B7B2-76A3-4DED-A546-70CDF074CE66}</author>
    <author>tc={D17D3445-59CC-4495-9253-860DE4E83921}</author>
    <author>tc={0CC049E1-D9EC-4B9C-9D53-260CD2B5818D}</author>
    <author>tc={1242D9E6-500A-4CED-989C-D21D693811FB}</author>
    <author>tc={5422FB72-2190-49C7-9500-1B2D61C74D14}</author>
    <author>tc={90F9D8EE-F98A-4673-B54D-E2FB43235AE9}</author>
    <author>tc={DA78937F-B0B7-49A4-B1A7-F28509DA9718}</author>
    <author>tc={6EF8F3E1-7F29-41BF-8D24-9A845F70C41B}</author>
    <author>tc={C8F7C465-AF17-4EFE-A7FD-ACEA5B8A0F9E}</author>
    <author>tc={B749BBD0-24C0-45CF-B967-0F52E843E4F1}</author>
    <author>tc={688197C2-F44E-49A1-ADAE-F45D6E50B321}</author>
    <author>tc={B2C0C7F0-6369-4449-81DC-6C854A3F94F3}</author>
    <author>tc={E5ABB787-8328-46B0-BA12-D6ADDD5C87F3}</author>
    <author>tc={D8B79D3B-6A34-4DF7-96A3-C47DF2694192}</author>
    <author>tc={6A08197A-E555-4611-9DAF-9DAE93E97C9C}</author>
    <author>tc={F372D2EA-7E67-4DEC-B9C8-4E610360D12A}</author>
  </authors>
  <commentList>
    <comment ref="C1" authorId="0" shapeId="0" xr:uid="{264069B1-629E-4551-9B0E-5937987C2C5E}">
      <text>
        <t>[Threaded comment]
Your version of Excel allows you to read this threaded comment; however, any edits to it will get removed if the file is opened in a newer version of Excel. Learn more: https://go.microsoft.com/fwlink/?linkid=870924
Comment:
    GDP per capita (current US$). 2015 values</t>
      </text>
    </comment>
    <comment ref="D1" authorId="1" shapeId="0" xr:uid="{EEE633D7-4655-46DE-80EF-35CD034078A8}">
      <text>
        <t>[Threaded comment]
Your version of Excel allows you to read this threaded comment; however, any edits to it will get removed if the file is opened in a newer version of Excel. Learn more: https://go.microsoft.com/fwlink/?linkid=870924
Comment:
    GDP per capita, PPP (current international $). 2015 values</t>
      </text>
    </comment>
    <comment ref="E1" authorId="2" shapeId="0" xr:uid="{209BBDCE-0E4F-47D3-AF87-711F241D0B8A}">
      <text>
        <t>[Threaded comment]
Your version of Excel allows you to read this threaded comment; however, any edits to it will get removed if the file is opened in a newer version of Excel. Learn more: https://go.microsoft.com/fwlink/?linkid=870924
Comment:
    Rural population (% of total population). 2015 values</t>
      </text>
    </comment>
    <comment ref="F1" authorId="3" shapeId="0" xr:uid="{F30484A3-89A4-4BFE-B444-A8D9C5B00C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People using at least basic sanitation services (% of population). 2015 values</t>
      </text>
    </comment>
    <comment ref="G1" authorId="4" shapeId="0" xr:uid="{3B63264E-B097-49DA-B0F9-0F4C153591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Mortality rate, infant (per 1,000 live births). 2015 values</t>
      </text>
    </comment>
    <comment ref="H1" authorId="5" shapeId="0" xr:uid="{06C35383-CA17-4958-B23F-2968C8A94BCD}">
      <text>
        <t>[Threaded comment]
Your version of Excel allows you to read this threaded comment; however, any edits to it will get removed if the file is opened in a newer version of Excel. Learn more: https://go.microsoft.com/fwlink/?linkid=870924
Comment:
    Life expectancy at birth, total (years). 2015 values</t>
      </text>
    </comment>
    <comment ref="I1" authorId="6" shapeId="0" xr:uid="{6E2CD842-2BD9-4332-8B26-2546EFD4703F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Health Expenditure (CHE) as % Gross Domestic Product (GDP). 2015 values</t>
      </text>
    </comment>
    <comment ref="J1" authorId="7" shapeId="0" xr:uid="{29899DDA-1DFE-4676-A87D-420B2CB25646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Health Expenditure (CHE) per Capita in PPP. 2015 values</t>
      </text>
    </comment>
    <comment ref="K1" authorId="8" shapeId="0" xr:uid="{FF1BE0A0-AEBF-4EC0-9B67-C0E54DA0EC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Compulsory Financing Arrangements (CFA) as % of Current Health Expenditure (CHE). 2015 values</t>
      </text>
    </comment>
    <comment ref="L1" authorId="9" shapeId="0" xr:uid="{26FE45D6-A229-43F2-BE60-02901FA36CC2}">
      <text>
        <t>[Threaded comment]
Your version of Excel allows you to read this threaded comment; however, any edits to it will get removed if the file is opened in a newer version of Excel. Learn more: https://go.microsoft.com/fwlink/?linkid=870924
Comment:
    Government Financing Arrangements (GFA) as % of Currrent Health Expenditure (CHE). 2015 values</t>
      </text>
    </comment>
    <comment ref="M1" authorId="10" shapeId="0" xr:uid="{6C3DF0BC-9AA5-4954-ADFD-20287414D51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Compulsory Health Insurance (CHI) as % of Current Health Expenditure (CHE). 2015 values</t>
      </text>
    </comment>
    <comment ref="N1" authorId="11" shapeId="0" xr:uid="{72DEDD6C-A58D-427F-AA70-BBC08AB7F12A}">
      <text>
        <t>[Threaded comment]
Your version of Excel allows you to read this threaded comment; however, any edits to it will get removed if the file is opened in a newer version of Excel. Learn more: https://go.microsoft.com/fwlink/?linkid=870924
Comment:
    Social Health Insurance (SHI) as % of Current Health Expenditure (CHE). 2015 values</t>
      </text>
    </comment>
    <comment ref="O1" authorId="12" shapeId="0" xr:uid="{E5909094-E777-4910-9D2F-07CBFB5CED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Compulsory Private Health Insurance (CHI-PVT) as % of Current Health Expenditure (CHE). 2015 values</t>
      </text>
    </comment>
    <comment ref="P1" authorId="13" shapeId="0" xr:uid="{CC3494CF-E604-4ACF-93AF-FD52E46B0EE7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Voluntary Financing Arrangements (VFA) as % of Current Health Expenditure (CHE). 2015 values</t>
      </text>
    </comment>
    <comment ref="Q1" authorId="14" shapeId="0" xr:uid="{722D3CCC-6F68-48AA-8F99-E99C532B28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 of the World (RoW) as % of Current Health Expenditure (CHE). 2015 values</t>
      </text>
    </comment>
    <comment ref="R1" authorId="15" shapeId="0" xr:uid="{25CFED68-58E6-4662-B7B0-4F6C94B66F4F}">
      <text>
        <t>[Threaded comment]
Your version of Excel allows you to read this threaded comment; however, any edits to it will get removed if the file is opened in a newer version of Excel. Learn more: https://go.microsoft.com/fwlink/?linkid=870924
Comment:
    UHC service coverage index, 2015 values</t>
      </text>
    </comment>
    <comment ref="S1" authorId="16" shapeId="0" xr:uid="{ABF51941-1305-43A7-9A9B-2AA64C683497}">
      <text>
        <t>[Threaded comment]
Your version of Excel allows you to read this threaded comment; however, any edits to it will get removed if the file is opened in a newer version of Excel. Learn more: https://go.microsoft.com/fwlink/?linkid=870924
Comment:
    Human Development Index, 2019 values</t>
      </text>
    </comment>
    <comment ref="D6" authorId="17" shapeId="0" xr:uid="{F12D0C29-31C4-4DFA-A11F-087E4B8737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indexmundi (est.)</t>
      </text>
    </comment>
    <comment ref="H6" authorId="18" shapeId="0" xr:uid="{92CE8F79-FF09-4CB4-BEFD-462E77A376D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https://www.indexmundi.com/g/g.aspx?c=an&amp;v=30</t>
      </text>
    </comment>
    <comment ref="D47" authorId="19" shapeId="0" xr:uid="{A9E4B7B2-76A3-4DED-A546-70CDF074CE66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indexmundi (est.)</t>
      </text>
    </comment>
    <comment ref="H54" authorId="20" shapeId="0" xr:uid="{D17D3445-59CC-4495-9253-860DE4E8392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https://www.indexmundi.com/g/g.aspx?v=30&amp;c=do&amp;l=en</t>
      </text>
    </comment>
    <comment ref="C60" authorId="21" shapeId="0" xr:uid="{0CC049E1-D9EC-4B9C-9D53-260CD2B5818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 values</t>
      </text>
    </comment>
    <comment ref="D60" authorId="22" shapeId="0" xr:uid="{1242D9E6-500A-4CED-989C-D21D693811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 values</t>
      </text>
    </comment>
    <comment ref="E60" authorId="23" shapeId="0" xr:uid="{5422FB72-2190-49C7-9500-1B2D61C74D14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 values</t>
      </text>
    </comment>
    <comment ref="H106" authorId="24" shapeId="0" xr:uid="{90F9D8EE-F98A-4673-B54D-E2FB43235AE9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https://www.indexmundi.com/g/g.aspx?v=30&amp;c=sc&amp;l=en</t>
      </text>
    </comment>
    <comment ref="D123" authorId="25" shapeId="0" xr:uid="{DA78937F-B0B7-49A4-B1A7-F28509DA971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indexmundi (est.)</t>
      </text>
    </comment>
    <comment ref="H123" authorId="26" shapeId="0" xr:uid="{6EF8F3E1-7F29-41BF-8D24-9A845F70C41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https://www.indexmundi.com/g/g.aspx?v=30&amp;c=mn&amp;l=en</t>
      </text>
    </comment>
    <comment ref="H128" authorId="27" shapeId="0" xr:uid="{C8F7C465-AF17-4EFE-A7FD-ACEA5B8A0F9E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https://www.indexmundi.com/g/g.aspx?v=30&amp;c=rm&amp;l=en</t>
      </text>
    </comment>
    <comment ref="H149" authorId="28" shapeId="0" xr:uid="{B749BBD0-24C0-45CF-B967-0F52E843E4F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https://www.indexmundi.com/g/g.aspx?v=30&amp;c=nr&amp;l=en</t>
      </text>
    </comment>
    <comment ref="H156" authorId="29" shapeId="0" xr:uid="{688197C2-F44E-49A1-ADAE-F45D6E50B321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https://www.indexmundi.com/g/g.aspx?v=30&amp;c=ps&amp;l=en</t>
      </text>
    </comment>
    <comment ref="H175" authorId="30" shapeId="0" xr:uid="{B2C0C7F0-6369-4449-81DC-6C854A3F94F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https://www.indexmundi.com/g/g.aspx?v=30&amp;c=sm&amp;l=en</t>
      </text>
    </comment>
    <comment ref="H199" authorId="31" shapeId="0" xr:uid="{E5ABB787-8328-46B0-BA12-D6ADDD5C87F3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https://www.indexmundi.com/g/g.aspx?v=30&amp;c=tv&amp;l=en</t>
      </text>
    </comment>
    <comment ref="C207" authorId="32" shapeId="0" xr:uid="{D8B79D3B-6A34-4DF7-96A3-C47DF2694192}">
      <text>
        <t>[Threaded comment]
Your version of Excel allows you to read this threaded comment; however, any edits to it will get removed if the file is opened in a newer version of Excel. Learn more: https://go.microsoft.com/fwlink/?linkid=870924
Comment:
    2014 values</t>
      </text>
    </comment>
    <comment ref="D207" authorId="33" shapeId="0" xr:uid="{6A08197A-E555-4611-9DAF-9DAE93E97C9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indexmundi (est.)</t>
      </text>
    </comment>
    <comment ref="D214" authorId="34" shapeId="0" xr:uid="{F372D2EA-7E67-4DEC-B9C8-4E610360D12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indexmundi (est.)</t>
      </text>
    </comment>
  </commentList>
</comments>
</file>

<file path=xl/sharedStrings.xml><?xml version="1.0" encoding="utf-8"?>
<sst xmlns="http://schemas.openxmlformats.org/spreadsheetml/2006/main" count="451" uniqueCount="451">
  <si>
    <t>country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</si>
  <si>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</si>
  <si>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</si>
  <si>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</si>
  <si>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</si>
  <si>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</si>
  <si>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</si>
  <si>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</si>
  <si>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</si>
  <si>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</si>
  <si>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</si>
  <si>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</si>
  <si>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</si>
  <si>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</si>
  <si>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</si>
  <si>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</si>
  <si>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</si>
  <si>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</si>
  <si>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</si>
  <si>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</si>
  <si>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</si>
  <si>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</si>
  <si>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</si>
  <si>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</si>
  <si>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</si>
  <si>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</si>
  <si>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</si>
  <si>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</si>
  <si>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</si>
  <si>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</si>
  <si>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</si>
  <si>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</si>
  <si>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</si>
  <si>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</si>
  <si>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</si>
  <si>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</si>
  <si>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</si>
  <si>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</si>
  <si>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</si>
  <si>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</si>
  <si>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</si>
  <si>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</si>
  <si>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</si>
  <si>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</si>
  <si>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</si>
  <si>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</si>
  <si>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</si>
  <si>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</si>
  <si>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</si>
  <si>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</si>
  <si>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Burundi</t>
  </si>
  <si>
    <t>CHE</t>
  </si>
  <si>
    <t>Switzerland</t>
  </si>
  <si>
    <t>CHL</t>
  </si>
  <si>
    <t>Chile</t>
  </si>
  <si>
    <t>CHN</t>
  </si>
  <si>
    <t>China</t>
  </si>
  <si>
    <t>CIV</t>
  </si>
  <si>
    <t>CMR</t>
  </si>
  <si>
    <t>Cameroon</t>
  </si>
  <si>
    <t>COD</t>
  </si>
  <si>
    <t>COG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</si>
  <si>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</si>
  <si>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</si>
  <si>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</si>
  <si>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</si>
  <si>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</si>
  <si>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</si>
  <si>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</si>
  <si>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</si>
  <si>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</si>
  <si>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</si>
  <si>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</si>
  <si>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</si>
  <si>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</si>
  <si>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</si>
  <si>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</si>
  <si>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</si>
  <si>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</si>
  <si>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</si>
  <si>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</si>
  <si>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</si>
  <si>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</si>
  <si>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</si>
  <si>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</si>
  <si>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</si>
  <si>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</si>
  <si>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</si>
  <si>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</si>
  <si>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</si>
  <si>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</si>
  <si>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</si>
  <si>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</si>
  <si>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</si>
  <si>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</si>
  <si>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</si>
  <si>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</si>
  <si>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</si>
  <si>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</si>
  <si>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</si>
  <si>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</si>
  <si>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</si>
  <si>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</si>
  <si>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</si>
  <si>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</si>
  <si>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</si>
  <si>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GAB</t>
  </si>
  <si>
    <t>Gabon</t>
  </si>
  <si>
    <t>GBR</t>
  </si>
  <si>
    <t>GEO</t>
  </si>
  <si>
    <t>Georgia</t>
  </si>
  <si>
    <t>GHA</t>
  </si>
  <si>
    <t>Ghana</t>
  </si>
  <si>
    <t>GIN</t>
  </si>
  <si>
    <t>Guinea</t>
  </si>
  <si>
    <t>GMB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</si>
  <si>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</si>
  <si>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</si>
  <si>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</si>
  <si>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</si>
  <si>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</si>
  <si>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</si>
  <si>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</si>
  <si>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</si>
  <si>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GUY</t>
  </si>
  <si>
    <t>Guyana</t>
  </si>
  <si>
    <t>HKG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</si>
  <si>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</si>
  <si>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</si>
  <si>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</si>
  <si>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</si>
  <si>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</si>
  <si>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</si>
  <si>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</si>
  <si>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</si>
  <si>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</si>
  <si>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</si>
  <si>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</si>
  <si>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</si>
  <si>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</si>
  <si>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</si>
  <si>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</si>
  <si>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</si>
  <si>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</si>
  <si>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</si>
  <si>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</si>
  <si>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</si>
  <si>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</si>
  <si>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</si>
  <si>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</si>
  <si>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</si>
  <si>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</si>
  <si>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</si>
  <si>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</si>
  <si>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</si>
  <si>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</si>
  <si>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</si>
  <si>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</si>
  <si>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</si>
  <si>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</si>
  <si>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</si>
  <si>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</si>
  <si>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</si>
  <si>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</si>
  <si>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</si>
  <si>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</si>
  <si>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KOR</t>
  </si>
  <si>
    <t>KWT</t>
  </si>
  <si>
    <t>Kuwait</t>
  </si>
  <si>
    <t>LAO</t>
  </si>
  <si>
    <t>LBN</t>
  </si>
  <si>
    <t>Lebanon</t>
  </si>
  <si>
    <t>LBR</t>
  </si>
  <si>
    <t>Liberia</t>
  </si>
  <si>
    <t>LBY</t>
  </si>
  <si>
    <t>Libya</t>
  </si>
  <si>
    <t>LCA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</si>
  <si>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</si>
  <si>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</si>
  <si>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</si>
  <si>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</si>
  <si>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</si>
  <si>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</si>
  <si>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</si>
  <si>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</si>
  <si>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</si>
  <si>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</si>
  <si>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</si>
  <si>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</si>
  <si>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</si>
  <si>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</si>
  <si>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</si>
  <si>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</si>
  <si>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</si>
  <si>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</si>
  <si>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</si>
  <si>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</si>
  <si>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</si>
  <si>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</si>
  <si>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</si>
  <si>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</si>
  <si>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MLI</t>
  </si>
  <si>
    <t>Mali</t>
  </si>
  <si>
    <t>MLT</t>
  </si>
  <si>
    <t>Malta</t>
  </si>
  <si>
    <t>MMR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</si>
  <si>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</si>
  <si>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</si>
  <si>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</si>
  <si>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</si>
  <si>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</si>
  <si>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</si>
  <si>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</si>
  <si>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</si>
  <si>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</si>
  <si>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</si>
  <si>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</si>
  <si>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</si>
  <si>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</si>
  <si>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</si>
  <si>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</si>
  <si>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</si>
  <si>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</si>
  <si>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</si>
  <si>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</si>
  <si>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</si>
  <si>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</si>
  <si>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</si>
  <si>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</si>
  <si>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</si>
  <si>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</si>
  <si>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</si>
  <si>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</si>
  <si>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</si>
  <si>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</si>
  <si>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</si>
  <si>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</si>
  <si>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</si>
  <si>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</si>
  <si>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</si>
  <si>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</si>
  <si>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</si>
  <si>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</si>
  <si>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</si>
  <si>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</si>
  <si>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</si>
  <si>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</si>
  <si>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</si>
  <si>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</si>
  <si>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</si>
  <si>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PRK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</si>
  <si>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</si>
  <si>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</si>
  <si>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</si>
  <si>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</si>
  <si>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</si>
  <si>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</si>
  <si>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</si>
  <si>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</si>
  <si>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</si>
  <si>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</si>
  <si>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</si>
  <si>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</si>
  <si>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</si>
  <si>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</si>
  <si>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</si>
  <si>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</si>
  <si>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</si>
  <si>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</si>
  <si>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</si>
  <si>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</si>
  <si>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</si>
  <si>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</si>
  <si>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</si>
  <si>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</si>
  <si>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</si>
  <si>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SRB</t>
  </si>
  <si>
    <t>Serbia</t>
  </si>
  <si>
    <t>STP</t>
  </si>
  <si>
    <t>SUR</t>
  </si>
  <si>
    <t>Suriname</t>
  </si>
  <si>
    <t>SVK</t>
  </si>
  <si>
    <t>SVN</t>
  </si>
  <si>
    <t>Slovenia</t>
  </si>
  <si>
    <t>SWE</t>
  </si>
  <si>
    <t>Sweden</t>
  </si>
  <si>
    <t>SWZ</t>
  </si>
  <si>
    <t>SYC</t>
  </si>
  <si>
    <t>Seychelles</t>
  </si>
  <si>
    <t>SYR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</si>
  <si>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</si>
  <si>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</si>
  <si>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</si>
  <si>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</si>
  <si>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</si>
  <si>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</si>
  <si>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</si>
  <si>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</si>
  <si>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</si>
  <si>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</si>
  <si>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</si>
  <si>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</si>
  <si>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</si>
  <si>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</si>
  <si>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</si>
  <si>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</si>
  <si>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</si>
  <si>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</si>
  <si>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</si>
  <si>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</si>
  <si>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</si>
  <si>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</si>
  <si>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</si>
  <si>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</si>
  <si>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</si>
  <si>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</si>
  <si>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</si>
  <si>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</si>
  <si>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</si>
  <si>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UZB</t>
  </si>
  <si>
    <t>Uzbekistan</t>
  </si>
  <si>
    <t>VCT</t>
  </si>
  <si>
    <t>VEN</t>
  </si>
  <si>
    <t>VNM</t>
  </si>
  <si>
    <t>Vietnam</t>
  </si>
  <si>
    <t>VUT</t>
  </si>
  <si>
    <t>Vanuatu</t>
  </si>
  <si>
    <t>WSM</t>
  </si>
  <si>
    <t>Samoa</t>
  </si>
  <si>
    <t>YEM</t>
  </si>
  <si>
    <t>ZAF</t>
  </si>
  <si>
    <t>South Africa</t>
  </si>
  <si>
    <t>ZMB</t>
  </si>
  <si>
    <t>Zambia</t>
  </si>
  <si>
    <t>ZWE</t>
  </si>
  <si>
    <t>Zimbabwe</t>
  </si>
  <si>
    <t>Aruba</t>
  </si>
  <si>
    <t>ABW</t>
  </si>
  <si>
    <t>Afghanistan</t>
  </si>
  <si>
    <t>AFG</t>
  </si>
  <si>
    <t>Andorra</t>
  </si>
  <si>
    <t>AND</t>
  </si>
  <si>
    <t>American Samoa</t>
  </si>
  <si>
    <t>ASM</t>
  </si>
  <si>
    <t>Antigua and Barbuda</t>
  </si>
  <si>
    <t>ATG</t>
  </si>
  <si>
    <t>BDI</t>
  </si>
  <si>
    <t>Bahamas, The</t>
  </si>
  <si>
    <t>Bermuda</t>
  </si>
  <si>
    <t>BMU</t>
  </si>
  <si>
    <t>Brunei Darussalam</t>
  </si>
  <si>
    <t>BRN</t>
  </si>
  <si>
    <t>Channel Islands</t>
  </si>
  <si>
    <t>CHI</t>
  </si>
  <si>
    <t>Cote d'Ivoire</t>
  </si>
  <si>
    <t>Congo, Dem. Rep.</t>
  </si>
  <si>
    <t>Congo, Rep.</t>
  </si>
  <si>
    <t>Curacao</t>
  </si>
  <si>
    <t>CUW</t>
  </si>
  <si>
    <t>Cayman Islands</t>
  </si>
  <si>
    <t>CYM</t>
  </si>
  <si>
    <t>Egypt, Arab Rep.</t>
  </si>
  <si>
    <t>Faroe Islands</t>
  </si>
  <si>
    <t>FRO</t>
  </si>
  <si>
    <t>Micronesia, Fed. Sts.</t>
  </si>
  <si>
    <t>United Kingdom</t>
  </si>
  <si>
    <t>Gibraltar</t>
  </si>
  <si>
    <t>GIB</t>
  </si>
  <si>
    <t>Gambia, The</t>
  </si>
  <si>
    <t>Grenada</t>
  </si>
  <si>
    <t>GRD</t>
  </si>
  <si>
    <t>Greenland</t>
  </si>
  <si>
    <t>GRL</t>
  </si>
  <si>
    <t>Guam</t>
  </si>
  <si>
    <t>GUM</t>
  </si>
  <si>
    <t>Hong Kong SAR, China</t>
  </si>
  <si>
    <t>Isle of Man</t>
  </si>
  <si>
    <t>IMN</t>
  </si>
  <si>
    <t>Iran, Islamic Rep.</t>
  </si>
  <si>
    <t>St. Kitts and Nevis</t>
  </si>
  <si>
    <t>KNA</t>
  </si>
  <si>
    <t>Korea, Rep.</t>
  </si>
  <si>
    <t>Lao PDR</t>
  </si>
  <si>
    <t>St. Lucia</t>
  </si>
  <si>
    <t>Macao SAR, China</t>
  </si>
  <si>
    <t>St. Martin (French part)</t>
  </si>
  <si>
    <t>MAF</t>
  </si>
  <si>
    <t>Monaco</t>
  </si>
  <si>
    <t>MCO</t>
  </si>
  <si>
    <t>Marshall Islands</t>
  </si>
  <si>
    <t>MHL</t>
  </si>
  <si>
    <t>North Macedonia</t>
  </si>
  <si>
    <t>Myanmar</t>
  </si>
  <si>
    <t>Northern Mariana Islands</t>
  </si>
  <si>
    <t>MNP</t>
  </si>
  <si>
    <t>New Caledonia</t>
  </si>
  <si>
    <t>NCL</t>
  </si>
  <si>
    <t>Nauru</t>
  </si>
  <si>
    <t>NRU</t>
  </si>
  <si>
    <t>Palau</t>
  </si>
  <si>
    <t>PLW</t>
  </si>
  <si>
    <t>Puerto Rico</t>
  </si>
  <si>
    <t>PRI</t>
  </si>
  <si>
    <t>Korea, Dem. People's Rep.</t>
  </si>
  <si>
    <t>French Polynesia</t>
  </si>
  <si>
    <t>PYF</t>
  </si>
  <si>
    <t>Russian Federation</t>
  </si>
  <si>
    <t>San Marino</t>
  </si>
  <si>
    <t>SMR</t>
  </si>
  <si>
    <t>Somalia</t>
  </si>
  <si>
    <t>SOM</t>
  </si>
  <si>
    <t>South Sudan</t>
  </si>
  <si>
    <t>SSD</t>
  </si>
  <si>
    <t>Sao Tome and Principe</t>
  </si>
  <si>
    <t>Slovak Republic</t>
  </si>
  <si>
    <t>Eswatini</t>
  </si>
  <si>
    <t>Sint Maarten (Dutch part)</t>
  </si>
  <si>
    <t>SXM</t>
  </si>
  <si>
    <t>Syrian Arab Republic</t>
  </si>
  <si>
    <t>Turks and Caicos Islands</t>
  </si>
  <si>
    <t>TCA</t>
  </si>
  <si>
    <t>Tuvalu</t>
  </si>
  <si>
    <t>TUV</t>
  </si>
  <si>
    <t>United States</t>
  </si>
  <si>
    <t>St. Vincent and the Grenadines</t>
  </si>
  <si>
    <t>Venezuela, RB</t>
  </si>
  <si>
    <t>British Virgin Islands</t>
  </si>
  <si>
    <t>VGB</t>
  </si>
  <si>
    <t>Virgin Islands (U.S.)</t>
  </si>
  <si>
    <t>VIR</t>
  </si>
  <si>
    <t>Kosovo</t>
  </si>
  <si>
    <t>XKX</t>
  </si>
  <si>
    <t>Yemen, Rep.</t>
  </si>
  <si>
    <t>iso3</t>
  </si>
  <si>
    <t>gdp</t>
  </si>
  <si>
    <t>gdp_ppp</t>
  </si>
  <si>
    <t>rural</t>
  </si>
  <si>
    <t>san</t>
  </si>
  <si>
    <t>cfa</t>
  </si>
  <si>
    <t>che_gdp</t>
  </si>
  <si>
    <t>che_ppp</t>
  </si>
  <si>
    <t>gfa</t>
  </si>
  <si>
    <t>chi</t>
  </si>
  <si>
    <t>shi</t>
  </si>
  <si>
    <t>chi_pvt</t>
  </si>
  <si>
    <t>row</t>
  </si>
  <si>
    <t>oop</t>
  </si>
  <si>
    <t>uhc_sc</t>
  </si>
  <si>
    <t>idh</t>
  </si>
  <si>
    <t>mor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</si>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</sst>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0"/>
  </numFmts>
  <fonts count="22" x14ac:knownFonts="1">
    <font>
      <sz val="11"/>
      <color theme="1"/>
      <name val="Consolas"/>
      <family val="2"/>
    </font>
    <font>
      <sz val="11"/>
      <color theme="1"/>
      <name val="Consola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1"/>
      <color rgb="FF006100"/>
      <name val="Consolas"/>
      <family val="2"/>
    </font>
    <font>
      <sz val="11"/>
      <color rgb="FF9C0006"/>
      <name val="Consolas"/>
      <family val="2"/>
    </font>
    <font>
      <sz val="11"/>
      <color rgb="FF9C5700"/>
      <name val="Consolas"/>
      <family val="2"/>
    </font>
    <font>
      <sz val="11"/>
      <color rgb="FF3F3F76"/>
      <name val="Consolas"/>
      <family val="2"/>
    </font>
    <font>
      <b/>
      <sz val="11"/>
      <color rgb="FF3F3F3F"/>
      <name val="Consolas"/>
      <family val="2"/>
    </font>
    <font>
      <b/>
      <sz val="11"/>
      <color rgb="FFFA7D00"/>
      <name val="Consolas"/>
      <family val="2"/>
    </font>
    <font>
      <sz val="11"/>
      <color rgb="FFFA7D00"/>
      <name val="Consolas"/>
      <family val="2"/>
    </font>
    <font>
      <b/>
      <sz val="11"/>
      <color theme="0"/>
      <name val="Consolas"/>
      <family val="2"/>
    </font>
    <font>
      <sz val="11"/>
      <color rgb="FFFF0000"/>
      <name val="Consolas"/>
      <family val="2"/>
    </font>
    <font>
      <i/>
      <sz val="11"/>
      <color rgb="FF7F7F7F"/>
      <name val="Consolas"/>
      <family val="2"/>
    </font>
    <font>
      <b/>
      <sz val="11"/>
      <color theme="1"/>
      <name val="Consolas"/>
      <family val="2"/>
    </font>
    <font>
      <sz val="11"/>
      <color theme="0"/>
      <name val="Consolas"/>
      <family val="2"/>
    </font>
    <font>
      <b/>
      <sz val="11"/>
      <color theme="1"/>
      <name val="Consolas"/>
      <family val="3"/>
    </font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8">
    <xf numFmtId="0" fontId="0" fillId="0" borderId="0" xfId="0"/>
    <xf numFmtId="0" fontId="18" fillId="0" borderId="0" xfId="0" applyFont="1"/>
    <xf numFmtId="0" fontId="0" fillId="0" borderId="0" xfId="0" applyFont="1" applyFill="1"/>
    <xf numFmtId="0" fontId="20" fillId="0" borderId="0" xfId="0" applyFont="1"/>
    <xf numFmtId="0" fontId="20" fillId="0" borderId="0" xfId="0" applyFont="1" applyFill="1"/>
    <xf numFmtId="0" fontId="20" fillId="0" borderId="0" xfId="0" applyFont="1" applyBorder="1"/>
    <xf numFmtId="0" fontId="20" fillId="0" borderId="0" xfId="0" applyFont="1" applyFill="1" applyBorder="1"/>
    <xf numFmtId="164" fontId="21" fillId="0" borderId="0" xfId="42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AF1485A-D763-4E36-95FC-091DBC34033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mitri" id="{1D42A6CE-DE7D-4D1C-82A0-F3296D18E37C}" userId="Dimitri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2-06-20T01:15:38.79" personId="{1D42A6CE-DE7D-4D1C-82A0-F3296D18E37C}" id="{264069B1-629E-4551-9B0E-5937987C2C5E}">
    <text>GDP per capita (current US$). 2015 values</text>
  </threadedComment>
  <threadedComment ref="D1" dT="2022-06-20T01:17:35.96" personId="{1D42A6CE-DE7D-4D1C-82A0-F3296D18E37C}" id="{EEE633D7-4655-46DE-80EF-35CD034078A8}">
    <text>GDP per capita, PPP (current international $). 2015 values</text>
  </threadedComment>
  <threadedComment ref="E1" dT="2022-06-20T01:20:04.05" personId="{1D42A6CE-DE7D-4D1C-82A0-F3296D18E37C}" id="{209BBDCE-0E4F-47D3-AF87-711F241D0B8A}">
    <text>Rural population (% of total population). 2015 values</text>
  </threadedComment>
  <threadedComment ref="F1" dT="2022-06-20T01:20:44.90" personId="{1D42A6CE-DE7D-4D1C-82A0-F3296D18E37C}" id="{F30484A3-89A4-4BFE-B444-A8D9C5B00C57}">
    <text>People using at least basic sanitation services (% of population). 2015 values</text>
  </threadedComment>
  <threadedComment ref="G1" dT="2022-06-20T01:21:41.10" personId="{1D42A6CE-DE7D-4D1C-82A0-F3296D18E37C}" id="{3B63264E-B097-49DA-B0F9-0F4C15359190}">
    <text>Mortality rate, infant (per 1,000 live births). 2015 values</text>
  </threadedComment>
  <threadedComment ref="H1" dT="2022-06-20T01:22:12.91" personId="{1D42A6CE-DE7D-4D1C-82A0-F3296D18E37C}" id="{06C35383-CA17-4958-B23F-2968C8A94BCD}">
    <text>Life expectancy at birth, total (years). 2015 values</text>
  </threadedComment>
  <threadedComment ref="I1" dT="2022-06-20T02:00:31.06" personId="{1D42A6CE-DE7D-4D1C-82A0-F3296D18E37C}" id="{6E2CD842-2BD9-4332-8B26-2546EFD4703F}">
    <text>Current Health Expenditure (CHE) as % Gross Domestic Product (GDP). 2015 values</text>
  </threadedComment>
  <threadedComment ref="J1" dT="2022-06-20T02:01:41.41" personId="{1D42A6CE-DE7D-4D1C-82A0-F3296D18E37C}" id="{29899DDA-1DFE-4676-A87D-420B2CB25646}">
    <text>Current Health Expenditure (CHE) per Capita in PPP. 2015 values</text>
  </threadedComment>
  <threadedComment ref="K1" dT="2022-06-20T02:02:27.17" personId="{1D42A6CE-DE7D-4D1C-82A0-F3296D18E37C}" id="{FF1BE0A0-AEBF-4EC0-9B67-C0E54DA0EC49}">
    <text>Compulsory Financing Arrangements (CFA) as % of Current Health Expenditure (CHE). 2015 values</text>
  </threadedComment>
  <threadedComment ref="L1" dT="2022-06-20T02:02:42.61" personId="{1D42A6CE-DE7D-4D1C-82A0-F3296D18E37C}" id="{26FE45D6-A229-43F2-BE60-02901FA36CC2}">
    <text>Government Financing Arrangements (GFA) as % of Currrent Health Expenditure (CHE). 2015 values</text>
  </threadedComment>
  <threadedComment ref="M1" dT="2022-06-20T02:03:39.74" personId="{1D42A6CE-DE7D-4D1C-82A0-F3296D18E37C}" id="{6C3DF0BC-9AA5-4954-ADFD-20287414D516}">
    <text>Compulsory Health Insurance (CHI) as % of Current Health Expenditure (CHE). 2015 values</text>
  </threadedComment>
  <threadedComment ref="N1" dT="2022-06-20T02:03:49.58" personId="{1D42A6CE-DE7D-4D1C-82A0-F3296D18E37C}" id="{72DEDD6C-A58D-427F-AA70-BBC08AB7F12A}">
    <text>Social Health Insurance (SHI) as % of Current Health Expenditure (CHE). 2015 values</text>
  </threadedComment>
  <threadedComment ref="O1" dT="2022-06-20T02:04:00.83" personId="{1D42A6CE-DE7D-4D1C-82A0-F3296D18E37C}" id="{E5909094-E777-4910-9D2F-07CBFB5CED4A}">
    <text>Compulsory Private Health Insurance (CHI-PVT) as % of Current Health Expenditure (CHE). 2015 values</text>
  </threadedComment>
  <threadedComment ref="P1" dT="2022-06-20T02:04:10.70" personId="{1D42A6CE-DE7D-4D1C-82A0-F3296D18E37C}" id="{CC3494CF-E604-4ACF-93AF-FD52E46B0EE7}">
    <text>Voluntary Financing Arrangements (VFA) as % of Current Health Expenditure (CHE). 2015 values</text>
  </threadedComment>
  <threadedComment ref="Q1" dT="2022-06-20T02:04:22.08" personId="{1D42A6CE-DE7D-4D1C-82A0-F3296D18E37C}" id="{722D3CCC-6F68-48AA-8F99-E99C532B286A}">
    <text>Rest of the World (RoW) as % of Current Health Expenditure (CHE). 2015 values</text>
  </threadedComment>
  <threadedComment ref="R1" dT="2022-07-09T16:05:35.38" personId="{1D42A6CE-DE7D-4D1C-82A0-F3296D18E37C}" id="{25CFED68-58E6-4662-B7B0-4F6C94B66F4F}">
    <text>UHC service coverage index, 2015 values</text>
  </threadedComment>
  <threadedComment ref="S1" dT="2022-07-12T23:11:04.36" personId="{1D42A6CE-DE7D-4D1C-82A0-F3296D18E37C}" id="{ABF51941-1305-43A7-9A9B-2AA64C683497}">
    <text>Human Development Index, 2019 values</text>
  </threadedComment>
  <threadedComment ref="D6" dT="2022-06-02T14:41:18.45" personId="{1D42A6CE-DE7D-4D1C-82A0-F3296D18E37C}" id="{F12D0C29-31C4-4DFA-A11F-087E4B87378A}">
    <text>indexmundi (est.)</text>
  </threadedComment>
  <threadedComment ref="H6" dT="2022-05-31T21:37:36.67" personId="{1D42A6CE-DE7D-4D1C-82A0-F3296D18E37C}" id="{92CE8F79-FF09-4CB4-BEFD-462E77A376D6}">
    <text>https://www.indexmundi.com/g/g.aspx?c=an&amp;v=30</text>
  </threadedComment>
  <threadedComment ref="D47" dT="2022-06-02T14:42:05.41" personId="{1D42A6CE-DE7D-4D1C-82A0-F3296D18E37C}" id="{A9E4B7B2-76A3-4DED-A546-70CDF074CE66}">
    <text>indexmundi (est.)</text>
  </threadedComment>
  <threadedComment ref="H54" dT="2022-05-31T21:38:34.98" personId="{1D42A6CE-DE7D-4D1C-82A0-F3296D18E37C}" id="{D17D3445-59CC-4495-9253-860DE4E83921}">
    <text>https://www.indexmundi.com/g/g.aspx?v=30&amp;c=do&amp;l=en</text>
  </threadedComment>
  <threadedComment ref="C60" dT="2022-05-31T21:33:53.06" personId="{1D42A6CE-DE7D-4D1C-82A0-F3296D18E37C}" id="{0CC049E1-D9EC-4B9C-9D53-260CD2B5818D}">
    <text>2011 values</text>
  </threadedComment>
  <threadedComment ref="D60" dT="2022-06-02T14:43:13.35" personId="{1D42A6CE-DE7D-4D1C-82A0-F3296D18E37C}" id="{1242D9E6-500A-4CED-989C-D21D693811FB}">
    <text>2011 values</text>
  </threadedComment>
  <threadedComment ref="E60" dT="2022-05-31T21:28:14.08" personId="{1D42A6CE-DE7D-4D1C-82A0-F3296D18E37C}" id="{5422FB72-2190-49C7-9500-1B2D61C74D14}">
    <text>2011 values</text>
  </threadedComment>
  <threadedComment ref="H106" dT="2022-05-31T21:39:58.65" personId="{1D42A6CE-DE7D-4D1C-82A0-F3296D18E37C}" id="{90F9D8EE-F98A-4673-B54D-E2FB43235AE9}">
    <text>https://www.indexmundi.com/g/g.aspx?v=30&amp;c=sc&amp;l=en</text>
  </threadedComment>
  <threadedComment ref="D123" dT="2022-06-02T14:45:26.17" personId="{1D42A6CE-DE7D-4D1C-82A0-F3296D18E37C}" id="{DA78937F-B0B7-49A4-B1A7-F28509DA9718}">
    <text>indexmundi (est.)</text>
  </threadedComment>
  <threadedComment ref="H123" dT="2022-05-31T21:41:33.71" personId="{1D42A6CE-DE7D-4D1C-82A0-F3296D18E37C}" id="{6EF8F3E1-7F29-41BF-8D24-9A845F70C41B}">
    <text>https://www.indexmundi.com/g/g.aspx?v=30&amp;c=mn&amp;l=en</text>
  </threadedComment>
  <threadedComment ref="H128" dT="2022-05-31T21:42:01.22" personId="{1D42A6CE-DE7D-4D1C-82A0-F3296D18E37C}" id="{C8F7C465-AF17-4EFE-A7FD-ACEA5B8A0F9E}">
    <text>https://www.indexmundi.com/g/g.aspx?v=30&amp;c=rm&amp;l=en</text>
  </threadedComment>
  <threadedComment ref="H149" dT="2022-05-31T21:42:37.38" personId="{1D42A6CE-DE7D-4D1C-82A0-F3296D18E37C}" id="{B749BBD0-24C0-45CF-B967-0F52E843E4F1}">
    <text>https://www.indexmundi.com/g/g.aspx?v=30&amp;c=nr&amp;l=en</text>
  </threadedComment>
  <threadedComment ref="H156" dT="2022-05-31T21:42:59.56" personId="{1D42A6CE-DE7D-4D1C-82A0-F3296D18E37C}" id="{688197C2-F44E-49A1-ADAE-F45D6E50B321}">
    <text>https://www.indexmundi.com/g/g.aspx?v=30&amp;c=ps&amp;l=en</text>
  </threadedComment>
  <threadedComment ref="H175" dT="2022-05-31T21:43:35.90" personId="{1D42A6CE-DE7D-4D1C-82A0-F3296D18E37C}" id="{B2C0C7F0-6369-4449-81DC-6C854A3F94F3}">
    <text>https://www.indexmundi.com/g/g.aspx?v=30&amp;c=sm&amp;l=en</text>
  </threadedComment>
  <threadedComment ref="H199" dT="2022-05-31T21:44:10.54" personId="{1D42A6CE-DE7D-4D1C-82A0-F3296D18E37C}" id="{E5ABB787-8328-46B0-BA12-D6ADDD5C87F3}">
    <text>https://www.indexmundi.com/g/g.aspx?v=30&amp;c=tv&amp;l=en</text>
  </threadedComment>
  <threadedComment ref="C207" dT="2022-05-31T21:45:30.28" personId="{1D42A6CE-DE7D-4D1C-82A0-F3296D18E37C}" id="{D8B79D3B-6A34-4DF7-96A3-C47DF2694192}">
    <text>2014 values</text>
  </threadedComment>
  <threadedComment ref="D207" dT="2022-06-02T14:46:26.57" personId="{1D42A6CE-DE7D-4D1C-82A0-F3296D18E37C}" id="{6A08197A-E555-4611-9DAF-9DAE93E97C9C}">
    <text>indexmundi (est.)</text>
  </threadedComment>
  <threadedComment ref="D214" dT="2022-06-02T14:46:57.48" personId="{1D42A6CE-DE7D-4D1C-82A0-F3296D18E37C}" id="{F372D2EA-7E67-4DEC-B9C8-4E610360D12A}">
    <text>indexmundi (est.)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8"/>
  <sheetViews>
    <sheetView tabSelected="1" topLeftCell="D1" workbookViewId="0">
      <selection activeCell="G1" sqref="G1"/>
    </sheetView>
  </sheetViews>
  <sheetFormatPr defaultRowHeight="15" x14ac:dyDescent="0.25"/>
  <cols>
    <col min="1" max="1" width="21.5" customWidth="1"/>
    <col min="2" max="2" width="4.875" customWidth="1"/>
    <col min="3" max="4" width="9.875" customWidth="1"/>
    <col min="5" max="8" width="9" customWidth="1"/>
    <col min="9" max="9" width="9.125" customWidth="1"/>
    <col min="10" max="10" width="9.875" customWidth="1"/>
    <col min="11" max="17" width="9.125" customWidth="1"/>
    <col min="18" max="18" width="9" customWidth="1"/>
  </cols>
  <sheetData>
    <row r="1" spans="1:19" x14ac:dyDescent="0.25">
      <c r="A1" s="1" t="s">
        <v>0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449</v>
      </c>
      <c r="H1" s="1" t="s">
        <v>450</v>
      </c>
      <c r="I1" s="1" t="s">
        <v>439</v>
      </c>
      <c r="J1" s="1" t="s">
        <v>440</v>
      </c>
      <c r="K1" s="1" t="s">
        <v>438</v>
      </c>
      <c r="L1" s="1" t="s">
        <v>441</v>
      </c>
      <c r="M1" s="1" t="s">
        <v>442</v>
      </c>
      <c r="N1" s="1" t="s">
        <v>443</v>
      </c>
      <c r="O1" s="1" t="s">
        <v>444</v>
      </c>
      <c r="P1" s="1" t="s">
        <v>446</v>
      </c>
      <c r="Q1" s="1" t="s">
        <v>445</v>
      </c>
      <c r="R1" s="1" t="s">
        <v>447</v>
      </c>
      <c r="S1" s="1" t="s">
        <v>448</v>
      </c>
    </row>
    <row r="2" spans="1:19" x14ac:dyDescent="0.25">
      <c r="A2" s="2" t="s">
        <v>336</v>
      </c>
      <c r="B2" s="4" t="s">
        <v>337</v>
      </c>
      <c r="C2" s="5">
        <v>28396.908422861645</v>
      </c>
      <c r="D2" s="5">
        <v>37311.750319598061</v>
      </c>
      <c r="E2" s="5">
        <v>56.892000000000003</v>
      </c>
      <c r="F2" s="5">
        <v>97.543481119999996</v>
      </c>
      <c r="G2" s="5"/>
      <c r="H2" s="5">
        <v>75.724999999999994</v>
      </c>
      <c r="I2" s="5"/>
      <c r="J2" s="5"/>
      <c r="K2" s="5"/>
      <c r="L2" s="5"/>
      <c r="M2" s="5"/>
      <c r="N2" s="5"/>
      <c r="O2" s="5"/>
      <c r="P2" s="5"/>
      <c r="Q2" s="5"/>
      <c r="S2" s="3"/>
    </row>
    <row r="3" spans="1:19" x14ac:dyDescent="0.25">
      <c r="A3" s="2" t="s">
        <v>338</v>
      </c>
      <c r="B3" s="4" t="s">
        <v>339</v>
      </c>
      <c r="C3" s="5">
        <v>556.00722086144322</v>
      </c>
      <c r="D3" s="5">
        <v>2087.3053230668288</v>
      </c>
      <c r="E3" s="5">
        <v>75.197000000000003</v>
      </c>
      <c r="F3" s="5">
        <v>42.626022839999997</v>
      </c>
      <c r="G3" s="5">
        <v>53.2</v>
      </c>
      <c r="H3" s="5">
        <v>63.377000000000002</v>
      </c>
      <c r="I3" s="5">
        <v>10.105347630000001</v>
      </c>
      <c r="J3" s="5">
        <v>211.58729553000003</v>
      </c>
      <c r="K3" s="5">
        <f>SUM(L3:M3)</f>
        <v>13.1634388</v>
      </c>
      <c r="L3" s="5">
        <v>13.1634388</v>
      </c>
      <c r="M3" s="5">
        <f t="shared" ref="M3:M9" si="0">SUM(N3:O3)</f>
        <v>0</v>
      </c>
      <c r="N3" s="5"/>
      <c r="O3" s="5"/>
      <c r="P3" s="5">
        <v>86.836563110000014</v>
      </c>
      <c r="Q3" s="5"/>
      <c r="R3">
        <v>32</v>
      </c>
      <c r="S3" s="7">
        <v>0.51100000000000001</v>
      </c>
    </row>
    <row r="4" spans="1:19" x14ac:dyDescent="0.25">
      <c r="A4" s="2" t="s">
        <v>2</v>
      </c>
      <c r="B4" s="4" t="s">
        <v>1</v>
      </c>
      <c r="C4" s="5">
        <v>4166.9798333027802</v>
      </c>
      <c r="D4" s="5">
        <v>7337.5698220493778</v>
      </c>
      <c r="E4" s="5">
        <v>36.554000000000002</v>
      </c>
      <c r="F4" s="5">
        <v>47.374480570000003</v>
      </c>
      <c r="G4" s="5">
        <v>57.7</v>
      </c>
      <c r="H4" s="5">
        <v>59.398000000000003</v>
      </c>
      <c r="I4" s="5">
        <v>2.6057949100000002</v>
      </c>
      <c r="J4" s="5">
        <v>191.20199585000003</v>
      </c>
      <c r="K4" s="5">
        <v>48.112930299999988</v>
      </c>
      <c r="L4" s="5">
        <v>48.112930299999988</v>
      </c>
      <c r="M4" s="5">
        <f t="shared" si="0"/>
        <v>0</v>
      </c>
      <c r="N4" s="5"/>
      <c r="O4" s="5"/>
      <c r="P4" s="5">
        <v>51.887069700000005</v>
      </c>
      <c r="Q4" s="5"/>
      <c r="R4">
        <v>37</v>
      </c>
      <c r="S4" s="7">
        <v>0.58099999999999996</v>
      </c>
    </row>
    <row r="5" spans="1:19" x14ac:dyDescent="0.25">
      <c r="A5" s="2" t="s">
        <v>4</v>
      </c>
      <c r="B5" s="4" t="s">
        <v>3</v>
      </c>
      <c r="C5" s="5">
        <v>3952.8025380752738</v>
      </c>
      <c r="D5" s="5">
        <v>11658.905517111189</v>
      </c>
      <c r="E5" s="5">
        <v>42.566000000000003</v>
      </c>
      <c r="F5" s="5">
        <v>97.654965329999996</v>
      </c>
      <c r="G5" s="5">
        <v>8.5</v>
      </c>
      <c r="H5" s="5">
        <v>78.025000000000006</v>
      </c>
      <c r="I5" s="5">
        <v>4.8963117599999997</v>
      </c>
      <c r="J5" s="5">
        <v>568.91839599999992</v>
      </c>
      <c r="K5" s="5">
        <v>56.276466370000001</v>
      </c>
      <c r="L5" s="5">
        <v>9.7211542099999981</v>
      </c>
      <c r="M5" s="5">
        <f t="shared" si="0"/>
        <v>46.555313110000007</v>
      </c>
      <c r="N5" s="5">
        <v>46.555313110000007</v>
      </c>
      <c r="O5" s="6">
        <v>0</v>
      </c>
      <c r="P5" s="5">
        <v>43.723533630000006</v>
      </c>
      <c r="Q5" s="5"/>
      <c r="R5">
        <v>62</v>
      </c>
      <c r="S5" s="7">
        <v>0.79500000000000004</v>
      </c>
    </row>
    <row r="6" spans="1:19" x14ac:dyDescent="0.25">
      <c r="A6" s="2" t="s">
        <v>340</v>
      </c>
      <c r="B6" s="4" t="s">
        <v>341</v>
      </c>
      <c r="C6" s="5">
        <v>35770.776704408534</v>
      </c>
      <c r="D6" s="5">
        <v>49900</v>
      </c>
      <c r="E6" s="5">
        <v>11.654999999999999</v>
      </c>
      <c r="F6" s="5">
        <v>99.999997550000003</v>
      </c>
      <c r="G6" s="5">
        <v>3.1</v>
      </c>
      <c r="H6" s="5">
        <v>82.72</v>
      </c>
      <c r="I6" s="5">
        <v>6.283534529999999</v>
      </c>
      <c r="J6" s="5">
        <v>3096.1730957</v>
      </c>
      <c r="K6" s="5">
        <v>68.987342830000017</v>
      </c>
      <c r="L6" s="5">
        <v>16.976905819999999</v>
      </c>
      <c r="M6" s="5">
        <f t="shared" si="0"/>
        <v>52.010433200000008</v>
      </c>
      <c r="N6" s="5">
        <v>52.010433200000008</v>
      </c>
      <c r="O6" s="6">
        <v>0</v>
      </c>
      <c r="P6" s="5">
        <v>31.012657170000001</v>
      </c>
      <c r="Q6" s="5"/>
      <c r="R6">
        <v>75</v>
      </c>
      <c r="S6" s="7">
        <v>0.86799999999999999</v>
      </c>
    </row>
    <row r="7" spans="1:19" x14ac:dyDescent="0.25">
      <c r="A7" s="2" t="s">
        <v>6</v>
      </c>
      <c r="B7" s="4" t="s">
        <v>5</v>
      </c>
      <c r="C7" s="5">
        <v>38663.400502660457</v>
      </c>
      <c r="D7" s="5">
        <v>64901.880051235232</v>
      </c>
      <c r="E7" s="5">
        <v>14.325999999999993</v>
      </c>
      <c r="F7" s="5">
        <v>98.600135010000002</v>
      </c>
      <c r="G7" s="5">
        <v>6.5</v>
      </c>
      <c r="H7" s="5">
        <v>77.284999999999997</v>
      </c>
      <c r="I7" s="5">
        <v>3.5835943200000004</v>
      </c>
      <c r="J7" s="5">
        <v>2325.8171386700001</v>
      </c>
      <c r="K7" s="5">
        <v>71.251052860000001</v>
      </c>
      <c r="L7" s="5">
        <v>71.251052860000001</v>
      </c>
      <c r="M7" s="5">
        <f t="shared" si="0"/>
        <v>0</v>
      </c>
      <c r="N7" s="5"/>
      <c r="O7" s="5"/>
      <c r="P7" s="5">
        <v>28.748945239999994</v>
      </c>
      <c r="Q7" s="5"/>
      <c r="R7">
        <v>79</v>
      </c>
      <c r="S7" s="7">
        <v>0.89</v>
      </c>
    </row>
    <row r="8" spans="1:19" x14ac:dyDescent="0.25">
      <c r="A8" s="2" t="s">
        <v>8</v>
      </c>
      <c r="B8" s="4" t="s">
        <v>7</v>
      </c>
      <c r="C8" s="5">
        <v>13789.060424772022</v>
      </c>
      <c r="D8" s="5">
        <v>20105.198991816469</v>
      </c>
      <c r="E8" s="5">
        <v>8.4969999999999999</v>
      </c>
      <c r="F8" s="5">
        <v>94.948028399999998</v>
      </c>
      <c r="G8" s="5">
        <v>10.199999999999999</v>
      </c>
      <c r="H8" s="5">
        <v>76.067999999999998</v>
      </c>
      <c r="I8" s="5">
        <v>10.229338649999999</v>
      </c>
      <c r="J8" s="5">
        <v>2059.3286132800004</v>
      </c>
      <c r="K8" s="5">
        <v>66.996711729999987</v>
      </c>
      <c r="L8" s="5">
        <v>28.775560380000002</v>
      </c>
      <c r="M8" s="5">
        <f t="shared" si="0"/>
        <v>38.221149439999991</v>
      </c>
      <c r="N8" s="5">
        <v>38.221149439999991</v>
      </c>
      <c r="O8" s="5">
        <v>0</v>
      </c>
      <c r="P8" s="5">
        <v>33.003288269999999</v>
      </c>
      <c r="Q8" s="5"/>
      <c r="R8">
        <v>74</v>
      </c>
      <c r="S8" s="7">
        <v>0.84499999999999997</v>
      </c>
    </row>
    <row r="9" spans="1:19" x14ac:dyDescent="0.25">
      <c r="A9" s="2" t="s">
        <v>10</v>
      </c>
      <c r="B9" s="4" t="s">
        <v>9</v>
      </c>
      <c r="C9" s="5">
        <v>3607.2892985536109</v>
      </c>
      <c r="D9" s="5">
        <v>9969.6648539782345</v>
      </c>
      <c r="E9" s="5">
        <v>36.914999999999999</v>
      </c>
      <c r="F9" s="5">
        <v>92.910186300000007</v>
      </c>
      <c r="G9" s="5">
        <v>12.6</v>
      </c>
      <c r="H9" s="5">
        <v>74.466999999999999</v>
      </c>
      <c r="I9" s="5">
        <v>10.117633819999998</v>
      </c>
      <c r="J9" s="5">
        <v>1008.6956176799998</v>
      </c>
      <c r="K9" s="5">
        <v>16.469852449999998</v>
      </c>
      <c r="L9" s="5">
        <v>16.470048900000002</v>
      </c>
      <c r="M9" s="5">
        <f t="shared" si="0"/>
        <v>0</v>
      </c>
      <c r="N9" s="5"/>
      <c r="O9" s="5"/>
      <c r="P9" s="5">
        <v>83.244430539999996</v>
      </c>
      <c r="Q9" s="5">
        <v>0.28552055000000004</v>
      </c>
      <c r="R9">
        <v>65</v>
      </c>
      <c r="S9" s="7">
        <v>0.77600000000000002</v>
      </c>
    </row>
    <row r="10" spans="1:19" x14ac:dyDescent="0.25">
      <c r="A10" s="2" t="s">
        <v>342</v>
      </c>
      <c r="B10" s="4" t="s">
        <v>343</v>
      </c>
      <c r="C10" s="5">
        <v>12059.635164677633</v>
      </c>
      <c r="D10" s="5"/>
      <c r="E10" s="5">
        <v>12.762</v>
      </c>
      <c r="F10" s="5">
        <v>56.76053271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S10" s="3"/>
    </row>
    <row r="11" spans="1:19" x14ac:dyDescent="0.25">
      <c r="A11" s="2" t="s">
        <v>344</v>
      </c>
      <c r="B11" s="4" t="s">
        <v>345</v>
      </c>
      <c r="C11" s="5">
        <v>14285.329777309129</v>
      </c>
      <c r="D11" s="5">
        <v>18911.306894438876</v>
      </c>
      <c r="E11" s="5">
        <v>75</v>
      </c>
      <c r="F11" s="5">
        <v>87.504282380000006</v>
      </c>
      <c r="G11" s="5">
        <v>6.5</v>
      </c>
      <c r="H11" s="5">
        <v>76.483000000000004</v>
      </c>
      <c r="I11" s="5">
        <v>5.2796554599999999</v>
      </c>
      <c r="J11" s="5">
        <v>998.4859008799998</v>
      </c>
      <c r="K11" s="5">
        <v>59.787662510000004</v>
      </c>
      <c r="L11" s="5">
        <v>33.242961880000003</v>
      </c>
      <c r="M11" s="5">
        <f t="shared" ref="M11:M25" si="1">SUM(N11:O11)</f>
        <v>26.544698719999996</v>
      </c>
      <c r="N11" s="5">
        <v>26.544698719999996</v>
      </c>
      <c r="O11" s="5">
        <v>0</v>
      </c>
      <c r="P11" s="5">
        <v>40.212337489999996</v>
      </c>
      <c r="Q11" s="5"/>
      <c r="R11">
        <v>72</v>
      </c>
      <c r="S11" s="7">
        <v>0.77800000000000002</v>
      </c>
    </row>
    <row r="12" spans="1:19" x14ac:dyDescent="0.25">
      <c r="A12" s="2" t="s">
        <v>12</v>
      </c>
      <c r="B12" s="4" t="s">
        <v>11</v>
      </c>
      <c r="C12" s="5">
        <v>56707.02207721163</v>
      </c>
      <c r="D12" s="5">
        <v>46248.616456638912</v>
      </c>
      <c r="E12" s="5">
        <v>14.299000000000007</v>
      </c>
      <c r="F12" s="5">
        <v>99.991152380000003</v>
      </c>
      <c r="G12" s="5">
        <v>3.3</v>
      </c>
      <c r="H12" s="5">
        <v>82.4</v>
      </c>
      <c r="I12" s="5">
        <v>9.3275890400000012</v>
      </c>
      <c r="J12" s="5">
        <v>4392.07421875</v>
      </c>
      <c r="K12" s="5">
        <v>65.774757389999991</v>
      </c>
      <c r="L12" s="5">
        <v>64.730300900000003</v>
      </c>
      <c r="M12" s="5">
        <f t="shared" si="1"/>
        <v>1.0444558900000001</v>
      </c>
      <c r="N12" s="5">
        <v>0</v>
      </c>
      <c r="O12" s="5">
        <v>1.0444558900000001</v>
      </c>
      <c r="P12" s="5">
        <v>34.225246429999999</v>
      </c>
      <c r="Q12" s="5"/>
      <c r="R12">
        <v>86</v>
      </c>
      <c r="S12" s="7">
        <v>0.94399999999999995</v>
      </c>
    </row>
    <row r="13" spans="1:19" x14ac:dyDescent="0.25">
      <c r="A13" s="2" t="s">
        <v>14</v>
      </c>
      <c r="B13" s="4" t="s">
        <v>13</v>
      </c>
      <c r="C13" s="5">
        <v>44195.817594774824</v>
      </c>
      <c r="D13" s="5">
        <v>49865.903942418467</v>
      </c>
      <c r="E13" s="5">
        <v>42.284999999999997</v>
      </c>
      <c r="F13" s="5">
        <v>99.976705969999998</v>
      </c>
      <c r="G13" s="5">
        <v>3</v>
      </c>
      <c r="H13" s="5">
        <v>81.190243902439036</v>
      </c>
      <c r="I13" s="5">
        <v>10.367466929999997</v>
      </c>
      <c r="J13" s="5">
        <v>5204.6220703099989</v>
      </c>
      <c r="K13" s="5">
        <v>74.058609009999998</v>
      </c>
      <c r="L13" s="5">
        <v>30.01232718999999</v>
      </c>
      <c r="M13" s="5">
        <f t="shared" si="1"/>
        <v>44.046287539999994</v>
      </c>
      <c r="N13" s="5">
        <v>44.046287539999994</v>
      </c>
      <c r="O13" s="6">
        <v>0</v>
      </c>
      <c r="P13" s="5">
        <v>25.94138718</v>
      </c>
      <c r="Q13" s="5">
        <v>0</v>
      </c>
      <c r="R13">
        <v>79</v>
      </c>
      <c r="S13" s="7">
        <v>0.92200000000000004</v>
      </c>
    </row>
    <row r="14" spans="1:19" x14ac:dyDescent="0.25">
      <c r="A14" s="2" t="s">
        <v>16</v>
      </c>
      <c r="B14" s="4" t="s">
        <v>15</v>
      </c>
      <c r="C14" s="5">
        <v>5500.3103824440796</v>
      </c>
      <c r="D14" s="5">
        <v>14938.401127671517</v>
      </c>
      <c r="E14" s="5">
        <v>45.286000000000001</v>
      </c>
      <c r="F14" s="5">
        <v>96.119617480000002</v>
      </c>
      <c r="G14" s="5">
        <v>23.3</v>
      </c>
      <c r="H14" s="5">
        <v>72.266000000000005</v>
      </c>
      <c r="I14" s="5">
        <v>4.1066360499999988</v>
      </c>
      <c r="J14" s="5">
        <v>615.16131591999999</v>
      </c>
      <c r="K14" s="5">
        <v>32.420009610000001</v>
      </c>
      <c r="L14" s="5">
        <v>32.420009610000001</v>
      </c>
      <c r="M14" s="5">
        <f t="shared" si="1"/>
        <v>0</v>
      </c>
      <c r="N14" s="5"/>
      <c r="O14" s="5"/>
      <c r="P14" s="5">
        <v>67.579994200000002</v>
      </c>
      <c r="Q14" s="5"/>
      <c r="R14">
        <v>61</v>
      </c>
      <c r="S14" s="7">
        <v>0.75600000000000001</v>
      </c>
    </row>
    <row r="15" spans="1:19" x14ac:dyDescent="0.25">
      <c r="A15" s="2" t="s">
        <v>50</v>
      </c>
      <c r="B15" s="4" t="s">
        <v>346</v>
      </c>
      <c r="C15" s="5">
        <v>305.54965250265747</v>
      </c>
      <c r="D15" s="5">
        <v>841.64602586000262</v>
      </c>
      <c r="E15" s="5">
        <v>87.921999999999997</v>
      </c>
      <c r="F15" s="5">
        <v>45.875711819999999</v>
      </c>
      <c r="G15" s="5">
        <v>46.2</v>
      </c>
      <c r="H15" s="5">
        <v>60.122999999999998</v>
      </c>
      <c r="I15" s="5">
        <v>6.428827290000001</v>
      </c>
      <c r="J15" s="5">
        <v>54.107955930000003</v>
      </c>
      <c r="K15" s="5">
        <v>38.273963930000001</v>
      </c>
      <c r="L15" s="5">
        <v>28.951692580000003</v>
      </c>
      <c r="M15" s="5">
        <f t="shared" si="1"/>
        <v>9.3222703900000017</v>
      </c>
      <c r="N15" s="5">
        <v>9.3222703900000017</v>
      </c>
      <c r="O15" s="5">
        <v>0</v>
      </c>
      <c r="P15" s="5">
        <v>61.726032260000011</v>
      </c>
      <c r="Q15" s="5"/>
      <c r="R15">
        <v>40</v>
      </c>
      <c r="S15" s="7">
        <v>0.433</v>
      </c>
    </row>
    <row r="16" spans="1:19" x14ac:dyDescent="0.25">
      <c r="A16" s="2" t="s">
        <v>18</v>
      </c>
      <c r="B16" s="4" t="s">
        <v>17</v>
      </c>
      <c r="C16" s="5">
        <v>41008.296719471982</v>
      </c>
      <c r="D16" s="5">
        <v>46200.904454307027</v>
      </c>
      <c r="E16" s="5">
        <v>2.1239999999999952</v>
      </c>
      <c r="F16" s="5">
        <v>99.486135959999999</v>
      </c>
      <c r="G16" s="5">
        <v>3.3</v>
      </c>
      <c r="H16" s="5">
        <v>80.992682926829289</v>
      </c>
      <c r="I16" s="5">
        <v>10.43065357</v>
      </c>
      <c r="J16" s="5">
        <v>4834.8901367199996</v>
      </c>
      <c r="K16" s="5">
        <v>75.936531070000001</v>
      </c>
      <c r="L16" s="5">
        <v>17.843774799999998</v>
      </c>
      <c r="M16" s="5">
        <f t="shared" si="1"/>
        <v>58.092759210000011</v>
      </c>
      <c r="N16" s="5">
        <v>58.048309330000009</v>
      </c>
      <c r="O16" s="5">
        <v>4.4449879999999997E-2</v>
      </c>
      <c r="P16" s="5">
        <v>24.063468930000006</v>
      </c>
      <c r="Q16" s="5">
        <v>0</v>
      </c>
      <c r="R16">
        <v>84</v>
      </c>
      <c r="S16" s="7">
        <v>0.93100000000000005</v>
      </c>
    </row>
    <row r="17" spans="1:19" x14ac:dyDescent="0.25">
      <c r="A17" s="2" t="s">
        <v>20</v>
      </c>
      <c r="B17" s="4" t="s">
        <v>19</v>
      </c>
      <c r="C17" s="5">
        <v>1076.7966978558513</v>
      </c>
      <c r="D17" s="5">
        <v>2886.8291371897285</v>
      </c>
      <c r="E17" s="5">
        <v>54.305</v>
      </c>
      <c r="F17" s="5">
        <v>14.783432149999999</v>
      </c>
      <c r="G17" s="5">
        <v>63.2</v>
      </c>
      <c r="H17" s="5">
        <v>60.607999999999997</v>
      </c>
      <c r="I17" s="5">
        <v>2.9074168199999995</v>
      </c>
      <c r="J17" s="5">
        <v>83.932182310000002</v>
      </c>
      <c r="K17" s="5">
        <v>38.687030790000009</v>
      </c>
      <c r="L17" s="5">
        <v>37.011837010000008</v>
      </c>
      <c r="M17" s="5">
        <f t="shared" si="1"/>
        <v>1.6751937900000002</v>
      </c>
      <c r="N17" s="5">
        <v>1.6751937900000002</v>
      </c>
      <c r="O17" s="5">
        <v>0</v>
      </c>
      <c r="P17" s="5">
        <v>53.471176149999998</v>
      </c>
      <c r="Q17" s="5">
        <v>7.8417897199999995</v>
      </c>
      <c r="R17">
        <v>37</v>
      </c>
      <c r="S17" s="7">
        <v>0.54500000000000004</v>
      </c>
    </row>
    <row r="18" spans="1:19" x14ac:dyDescent="0.25">
      <c r="A18" s="2" t="s">
        <v>22</v>
      </c>
      <c r="B18" s="4" t="s">
        <v>21</v>
      </c>
      <c r="C18" s="5">
        <v>653.32726813946965</v>
      </c>
      <c r="D18" s="5">
        <v>1713.5201359122368</v>
      </c>
      <c r="E18" s="5">
        <v>72.47</v>
      </c>
      <c r="F18" s="5">
        <v>19.804094939999999</v>
      </c>
      <c r="G18" s="5">
        <v>59.6</v>
      </c>
      <c r="H18" s="5">
        <v>59.918999999999997</v>
      </c>
      <c r="I18" s="5">
        <v>5.1319246299999994</v>
      </c>
      <c r="J18" s="5">
        <v>87.936508180000004</v>
      </c>
      <c r="K18" s="5">
        <v>53.045875550000005</v>
      </c>
      <c r="L18" s="5">
        <v>52.803291320000007</v>
      </c>
      <c r="M18" s="5">
        <f t="shared" si="1"/>
        <v>0.24258249999999998</v>
      </c>
      <c r="N18" s="5">
        <v>0.24258249999999998</v>
      </c>
      <c r="O18" s="5">
        <v>0</v>
      </c>
      <c r="P18" s="5">
        <v>46.954128269999998</v>
      </c>
      <c r="Q18" s="5"/>
      <c r="R18">
        <v>39</v>
      </c>
      <c r="S18" s="7">
        <v>0.45200000000000001</v>
      </c>
    </row>
    <row r="19" spans="1:19" x14ac:dyDescent="0.25">
      <c r="A19" s="2" t="s">
        <v>24</v>
      </c>
      <c r="B19" s="4" t="s">
        <v>23</v>
      </c>
      <c r="C19" s="5">
        <v>1248.4533098961294</v>
      </c>
      <c r="D19" s="5">
        <v>3555.5052597060258</v>
      </c>
      <c r="E19" s="5">
        <v>65.692000000000007</v>
      </c>
      <c r="F19" s="5">
        <v>46.711854219999999</v>
      </c>
      <c r="G19" s="5">
        <v>31</v>
      </c>
      <c r="H19" s="5">
        <v>71.513999999999996</v>
      </c>
      <c r="I19" s="5">
        <v>2.63947296</v>
      </c>
      <c r="J19" s="5">
        <v>93.846580510000024</v>
      </c>
      <c r="K19" s="5">
        <f>SUM(L19:M19)</f>
        <v>91.973669049999998</v>
      </c>
      <c r="L19" s="5">
        <v>17.630697250000001</v>
      </c>
      <c r="M19" s="5">
        <f t="shared" si="1"/>
        <v>74.342971800000001</v>
      </c>
      <c r="N19" s="5">
        <v>0</v>
      </c>
      <c r="O19" s="5">
        <v>74.342971800000001</v>
      </c>
      <c r="P19" s="5">
        <v>8.0263318999999989</v>
      </c>
      <c r="Q19" s="5"/>
      <c r="R19">
        <v>45</v>
      </c>
      <c r="S19" s="7">
        <v>0.63200000000000001</v>
      </c>
    </row>
    <row r="20" spans="1:19" x14ac:dyDescent="0.25">
      <c r="A20" s="2" t="s">
        <v>26</v>
      </c>
      <c r="B20" s="4" t="s">
        <v>25</v>
      </c>
      <c r="C20" s="5">
        <v>7074.6810232505932</v>
      </c>
      <c r="D20" s="5">
        <v>18391.927472745592</v>
      </c>
      <c r="E20" s="5">
        <v>26.01</v>
      </c>
      <c r="F20" s="5">
        <v>85.983046340000001</v>
      </c>
      <c r="G20" s="5">
        <v>6.9</v>
      </c>
      <c r="H20" s="5">
        <v>74.614634146341473</v>
      </c>
      <c r="I20" s="5">
        <v>7.4109358799999994</v>
      </c>
      <c r="J20" s="5">
        <v>1354.8264160199999</v>
      </c>
      <c r="K20" s="5">
        <v>56.124580379999998</v>
      </c>
      <c r="L20" s="5">
        <v>10.168660160000002</v>
      </c>
      <c r="M20" s="5">
        <f t="shared" si="1"/>
        <v>45.955921169999996</v>
      </c>
      <c r="N20" s="5">
        <v>45.955921169999996</v>
      </c>
      <c r="O20" s="5">
        <v>0</v>
      </c>
      <c r="P20" s="5">
        <v>43.875415799999999</v>
      </c>
      <c r="Q20" s="5">
        <v>0</v>
      </c>
      <c r="R20">
        <v>66</v>
      </c>
      <c r="S20" s="7">
        <v>0.81599999999999995</v>
      </c>
    </row>
    <row r="21" spans="1:19" x14ac:dyDescent="0.25">
      <c r="A21" s="2" t="s">
        <v>28</v>
      </c>
      <c r="B21" s="4" t="s">
        <v>27</v>
      </c>
      <c r="C21" s="5">
        <v>22634.085647567445</v>
      </c>
      <c r="D21" s="5">
        <v>45575.783571831642</v>
      </c>
      <c r="E21" s="5">
        <v>11.001000000000005</v>
      </c>
      <c r="F21" s="5">
        <v>100</v>
      </c>
      <c r="G21" s="5">
        <v>6.5</v>
      </c>
      <c r="H21" s="5">
        <v>76.762</v>
      </c>
      <c r="I21" s="5">
        <v>4.9869975999999996</v>
      </c>
      <c r="J21" s="5">
        <v>2272.8588867200006</v>
      </c>
      <c r="K21" s="5">
        <v>64.884788510000007</v>
      </c>
      <c r="L21" s="5">
        <v>64.850440980000002</v>
      </c>
      <c r="M21" s="5">
        <f t="shared" si="1"/>
        <v>3.4350569999999997E-2</v>
      </c>
      <c r="N21" s="5">
        <v>3.4350569999999997E-2</v>
      </c>
      <c r="O21" s="5">
        <v>0</v>
      </c>
      <c r="P21" s="5">
        <v>35.115211489999993</v>
      </c>
      <c r="Q21" s="5"/>
      <c r="R21">
        <v>72</v>
      </c>
      <c r="S21" s="7">
        <v>0.85199999999999998</v>
      </c>
    </row>
    <row r="22" spans="1:19" x14ac:dyDescent="0.25">
      <c r="A22" s="2" t="s">
        <v>347</v>
      </c>
      <c r="B22" s="4" t="s">
        <v>29</v>
      </c>
      <c r="C22" s="5">
        <v>31776.05558524853</v>
      </c>
      <c r="D22" s="5">
        <v>33937.418758978034</v>
      </c>
      <c r="E22" s="5">
        <v>17.254000000000005</v>
      </c>
      <c r="F22" s="5">
        <v>94.930582329999993</v>
      </c>
      <c r="G22" s="5">
        <v>12</v>
      </c>
      <c r="H22" s="5">
        <v>73.087999999999994</v>
      </c>
      <c r="I22" s="5">
        <v>5.2271985999999995</v>
      </c>
      <c r="J22" s="5">
        <v>1747.1534423799999</v>
      </c>
      <c r="K22" s="5">
        <v>44.351631160000004</v>
      </c>
      <c r="L22" s="5">
        <v>40.00660323999999</v>
      </c>
      <c r="M22" s="5">
        <f t="shared" si="1"/>
        <v>4.3450260200000006</v>
      </c>
      <c r="N22" s="5">
        <v>4.3450260200000006</v>
      </c>
      <c r="O22" s="5">
        <v>0</v>
      </c>
      <c r="P22" s="5">
        <v>55.648368839999989</v>
      </c>
      <c r="Q22" s="5"/>
      <c r="R22">
        <v>67</v>
      </c>
      <c r="S22" s="7">
        <v>0.81399999999999995</v>
      </c>
    </row>
    <row r="23" spans="1:19" x14ac:dyDescent="0.25">
      <c r="A23" s="2" t="s">
        <v>31</v>
      </c>
      <c r="B23" s="4" t="s">
        <v>30</v>
      </c>
      <c r="C23" s="5">
        <v>4729.6899590538178</v>
      </c>
      <c r="D23" s="5">
        <v>12010.759497462373</v>
      </c>
      <c r="E23" s="5">
        <v>52.826999999999998</v>
      </c>
      <c r="F23" s="5">
        <v>95.312936759999999</v>
      </c>
      <c r="G23" s="5">
        <v>5.4</v>
      </c>
      <c r="H23" s="5">
        <v>76.864999999999995</v>
      </c>
      <c r="I23" s="5">
        <v>9.35174561</v>
      </c>
      <c r="J23" s="5">
        <v>1123.0915527300001</v>
      </c>
      <c r="K23" s="5">
        <v>70.909255979999983</v>
      </c>
      <c r="L23" s="5">
        <v>2.2945508999999999</v>
      </c>
      <c r="M23" s="5">
        <f t="shared" si="1"/>
        <v>68.615081790000005</v>
      </c>
      <c r="N23" s="5">
        <v>68.615081790000005</v>
      </c>
      <c r="O23" s="5">
        <v>0</v>
      </c>
      <c r="P23" s="5">
        <v>29.090747829999998</v>
      </c>
      <c r="Q23" s="5">
        <v>0</v>
      </c>
      <c r="R23">
        <v>62</v>
      </c>
      <c r="S23" s="7">
        <v>0.78</v>
      </c>
    </row>
    <row r="24" spans="1:19" x14ac:dyDescent="0.25">
      <c r="A24" s="2" t="s">
        <v>33</v>
      </c>
      <c r="B24" s="4" t="s">
        <v>32</v>
      </c>
      <c r="C24" s="5">
        <v>5967.052203849139</v>
      </c>
      <c r="D24" s="5">
        <v>18095.66517827375</v>
      </c>
      <c r="E24" s="5">
        <v>22.819000000000003</v>
      </c>
      <c r="F24" s="5">
        <v>97.807131490000003</v>
      </c>
      <c r="G24" s="5">
        <v>3.1</v>
      </c>
      <c r="H24" s="5">
        <v>73.624390243902454</v>
      </c>
      <c r="I24" s="5">
        <v>6.0653333700000003</v>
      </c>
      <c r="J24" s="5">
        <v>1100.08239746</v>
      </c>
      <c r="K24" s="5">
        <v>60.784934999999997</v>
      </c>
      <c r="L24" s="5">
        <v>60.784934999999997</v>
      </c>
      <c r="M24" s="5">
        <f t="shared" si="1"/>
        <v>0</v>
      </c>
      <c r="N24" s="5"/>
      <c r="O24" s="5"/>
      <c r="P24" s="5">
        <v>39.215068819999999</v>
      </c>
      <c r="Q24" s="5"/>
      <c r="R24">
        <v>69</v>
      </c>
      <c r="S24" s="7">
        <v>0.82299999999999995</v>
      </c>
    </row>
    <row r="25" spans="1:19" x14ac:dyDescent="0.25">
      <c r="A25" s="2" t="s">
        <v>35</v>
      </c>
      <c r="B25" s="4" t="s">
        <v>34</v>
      </c>
      <c r="C25" s="5">
        <v>4770.2326556388844</v>
      </c>
      <c r="D25" s="5">
        <v>7235.7101776583968</v>
      </c>
      <c r="E25" s="5">
        <v>54.594000000000001</v>
      </c>
      <c r="F25" s="5">
        <v>87.212983820000005</v>
      </c>
      <c r="G25" s="5">
        <v>13.2</v>
      </c>
      <c r="H25" s="5">
        <v>74.034000000000006</v>
      </c>
      <c r="I25" s="5">
        <v>5.9350915000000004</v>
      </c>
      <c r="J25" s="5">
        <v>430.1358337399999</v>
      </c>
      <c r="K25" s="5">
        <v>69.327575679999981</v>
      </c>
      <c r="L25" s="5">
        <v>59.580238339999994</v>
      </c>
      <c r="M25" s="5">
        <f t="shared" si="1"/>
        <v>9.7473402</v>
      </c>
      <c r="N25" s="5">
        <v>9.7473402</v>
      </c>
      <c r="O25" s="5">
        <v>0</v>
      </c>
      <c r="P25" s="5">
        <v>30.672422410000006</v>
      </c>
      <c r="Q25" s="5"/>
      <c r="R25">
        <v>64</v>
      </c>
      <c r="S25" s="7">
        <v>0.71599999999999997</v>
      </c>
    </row>
    <row r="26" spans="1:19" x14ac:dyDescent="0.25">
      <c r="A26" s="2" t="s">
        <v>348</v>
      </c>
      <c r="B26" s="4" t="s">
        <v>349</v>
      </c>
      <c r="C26" s="5">
        <v>102005.62564189034</v>
      </c>
      <c r="D26" s="5">
        <v>71873.228057818167</v>
      </c>
      <c r="E26" s="5">
        <v>0</v>
      </c>
      <c r="F26" s="5">
        <v>99.903140019999995</v>
      </c>
      <c r="G26" s="5"/>
      <c r="H26" s="5">
        <v>81.012195121951223</v>
      </c>
      <c r="I26" s="5"/>
      <c r="J26" s="5"/>
      <c r="K26" s="5"/>
      <c r="L26" s="5"/>
      <c r="M26" s="5"/>
      <c r="N26" s="5"/>
      <c r="O26" s="5"/>
      <c r="P26" s="5"/>
      <c r="Q26" s="5"/>
      <c r="S26" s="3"/>
    </row>
    <row r="27" spans="1:19" x14ac:dyDescent="0.25">
      <c r="A27" s="2" t="s">
        <v>37</v>
      </c>
      <c r="B27" s="4" t="s">
        <v>36</v>
      </c>
      <c r="C27" s="5">
        <v>3035.9716548978554</v>
      </c>
      <c r="D27" s="5">
        <v>7133.8731449622637</v>
      </c>
      <c r="E27" s="5">
        <v>31.606999999999999</v>
      </c>
      <c r="F27" s="5">
        <v>56.691178649999998</v>
      </c>
      <c r="G27" s="5">
        <v>25.4</v>
      </c>
      <c r="H27" s="5">
        <v>70.277000000000001</v>
      </c>
      <c r="I27" s="5">
        <v>6.5506496399999987</v>
      </c>
      <c r="J27" s="5">
        <v>467.31436157000007</v>
      </c>
      <c r="K27" s="5">
        <v>67.711860659999985</v>
      </c>
      <c r="L27" s="5">
        <v>39.515476230000004</v>
      </c>
      <c r="M27" s="5">
        <f t="shared" ref="M27:M35" si="2">SUM(N27:O27)</f>
        <v>28.196389320000005</v>
      </c>
      <c r="N27" s="5">
        <v>27.498790740000004</v>
      </c>
      <c r="O27" s="5">
        <v>0.69759857999999997</v>
      </c>
      <c r="P27" s="5">
        <v>32.288135530000012</v>
      </c>
      <c r="Q27" s="5"/>
      <c r="R27">
        <v>65</v>
      </c>
      <c r="S27" s="7">
        <v>0.71799999999999997</v>
      </c>
    </row>
    <row r="28" spans="1:19" x14ac:dyDescent="0.25">
      <c r="A28" s="2" t="s">
        <v>39</v>
      </c>
      <c r="B28" s="4" t="s">
        <v>38</v>
      </c>
      <c r="C28" s="5">
        <v>8813.9898064782828</v>
      </c>
      <c r="D28" s="5">
        <v>14744.113634469544</v>
      </c>
      <c r="E28" s="5">
        <v>14.23</v>
      </c>
      <c r="F28" s="5">
        <v>86.037961980000006</v>
      </c>
      <c r="G28" s="5">
        <v>14.2</v>
      </c>
      <c r="H28" s="5">
        <v>74.994</v>
      </c>
      <c r="I28" s="5">
        <v>8.9092950799999997</v>
      </c>
      <c r="J28" s="5">
        <v>1313.59729004</v>
      </c>
      <c r="K28" s="5">
        <v>43.331741329999993</v>
      </c>
      <c r="L28" s="5">
        <v>42.579315190000003</v>
      </c>
      <c r="M28" s="5">
        <f t="shared" si="2"/>
        <v>0.75242447999999995</v>
      </c>
      <c r="N28" s="5">
        <v>0.75242447999999995</v>
      </c>
      <c r="O28" s="5">
        <v>0</v>
      </c>
      <c r="P28" s="5">
        <v>53.814697270000011</v>
      </c>
      <c r="Q28" s="5">
        <v>0</v>
      </c>
      <c r="R28">
        <v>75</v>
      </c>
      <c r="S28" s="7">
        <v>0.76500000000000001</v>
      </c>
    </row>
    <row r="29" spans="1:19" x14ac:dyDescent="0.25">
      <c r="A29" s="2" t="s">
        <v>41</v>
      </c>
      <c r="B29" s="4" t="s">
        <v>40</v>
      </c>
      <c r="C29" s="5">
        <v>16524.899501273976</v>
      </c>
      <c r="D29" s="5">
        <v>15510.661205661574</v>
      </c>
      <c r="E29" s="5">
        <v>68.751000000000005</v>
      </c>
      <c r="F29" s="5">
        <v>96.355422759999996</v>
      </c>
      <c r="G29" s="5">
        <v>13</v>
      </c>
      <c r="H29" s="5">
        <v>78.801000000000002</v>
      </c>
      <c r="I29" s="5">
        <v>6.774845599999999</v>
      </c>
      <c r="J29" s="5">
        <v>1050.83435059</v>
      </c>
      <c r="K29" s="5">
        <v>48.399662019999994</v>
      </c>
      <c r="L29" s="5">
        <v>48.341617580000005</v>
      </c>
      <c r="M29" s="5">
        <f t="shared" si="2"/>
        <v>5.8045500000000007E-2</v>
      </c>
      <c r="N29" s="5">
        <v>5.8045500000000007E-2</v>
      </c>
      <c r="O29" s="5">
        <v>0</v>
      </c>
      <c r="P29" s="5">
        <v>51.600337980000006</v>
      </c>
      <c r="Q29" s="5"/>
      <c r="R29">
        <v>73</v>
      </c>
      <c r="S29" s="7">
        <v>0.81399999999999995</v>
      </c>
    </row>
    <row r="30" spans="1:19" x14ac:dyDescent="0.25">
      <c r="A30" s="2" t="s">
        <v>350</v>
      </c>
      <c r="B30" s="4" t="s">
        <v>351</v>
      </c>
      <c r="C30" s="5">
        <v>31164.036252846759</v>
      </c>
      <c r="D30" s="5">
        <v>62540.625220926129</v>
      </c>
      <c r="E30" s="5">
        <v>23.337000000000003</v>
      </c>
      <c r="F30" s="5">
        <v>96.34904195</v>
      </c>
      <c r="G30" s="5">
        <v>8.8000000000000007</v>
      </c>
      <c r="H30" s="5">
        <v>75.317999999999998</v>
      </c>
      <c r="I30" s="5">
        <v>2.3870890100000004</v>
      </c>
      <c r="J30" s="5">
        <v>1492.9256591799999</v>
      </c>
      <c r="K30" s="5">
        <v>95.026420590000015</v>
      </c>
      <c r="L30" s="5">
        <v>95.026420590000015</v>
      </c>
      <c r="M30" s="5">
        <f t="shared" si="2"/>
        <v>0</v>
      </c>
      <c r="N30" s="5"/>
      <c r="O30" s="5"/>
      <c r="P30" s="5">
        <v>4.9735765499999998</v>
      </c>
      <c r="Q30" s="5"/>
      <c r="R30">
        <v>73</v>
      </c>
      <c r="S30" s="7">
        <v>0.83799999999999997</v>
      </c>
    </row>
    <row r="31" spans="1:19" x14ac:dyDescent="0.25">
      <c r="A31" s="2" t="s">
        <v>43</v>
      </c>
      <c r="B31" s="4" t="s">
        <v>42</v>
      </c>
      <c r="C31" s="5">
        <v>2752.6301723367751</v>
      </c>
      <c r="D31" s="5">
        <v>9500.6507156497901</v>
      </c>
      <c r="E31" s="5">
        <v>61.322000000000003</v>
      </c>
      <c r="F31" s="5">
        <v>69.902668669999997</v>
      </c>
      <c r="G31" s="5">
        <v>27.4</v>
      </c>
      <c r="H31" s="5">
        <v>70.418999999999997</v>
      </c>
      <c r="I31" s="5">
        <v>3.7570118899999998</v>
      </c>
      <c r="J31" s="5">
        <v>340.18664551000001</v>
      </c>
      <c r="K31" s="5">
        <v>78.95821380999999</v>
      </c>
      <c r="L31" s="5">
        <v>78.95821380999999</v>
      </c>
      <c r="M31" s="5">
        <f t="shared" si="2"/>
        <v>0</v>
      </c>
      <c r="N31" s="5"/>
      <c r="O31" s="5"/>
      <c r="P31" s="5">
        <v>21.04178619</v>
      </c>
      <c r="Q31" s="5">
        <v>0</v>
      </c>
      <c r="R31">
        <v>57</v>
      </c>
      <c r="S31" s="7">
        <v>0.65400000000000003</v>
      </c>
    </row>
    <row r="32" spans="1:19" x14ac:dyDescent="0.25">
      <c r="A32" s="2" t="s">
        <v>45</v>
      </c>
      <c r="B32" s="4" t="s">
        <v>44</v>
      </c>
      <c r="C32" s="5">
        <v>6402.910183383914</v>
      </c>
      <c r="D32" s="5">
        <v>14639.558428955321</v>
      </c>
      <c r="E32" s="5">
        <v>32.844999999999999</v>
      </c>
      <c r="F32" s="5">
        <v>74.762069839999995</v>
      </c>
      <c r="G32" s="5">
        <v>39.6</v>
      </c>
      <c r="H32" s="5">
        <v>67.337999999999994</v>
      </c>
      <c r="I32" s="5">
        <v>5.7262992899999992</v>
      </c>
      <c r="J32" s="5">
        <v>890.27600097999982</v>
      </c>
      <c r="K32" s="5">
        <v>72.77970886</v>
      </c>
      <c r="L32" s="5">
        <v>72.77970886</v>
      </c>
      <c r="M32" s="5">
        <f t="shared" si="2"/>
        <v>0</v>
      </c>
      <c r="N32" s="5"/>
      <c r="O32" s="5"/>
      <c r="P32" s="5">
        <v>27.22029114</v>
      </c>
      <c r="Q32" s="5"/>
      <c r="R32">
        <v>53</v>
      </c>
      <c r="S32" s="7">
        <v>0.73499999999999999</v>
      </c>
    </row>
    <row r="33" spans="1:19" x14ac:dyDescent="0.25">
      <c r="A33" s="2" t="s">
        <v>47</v>
      </c>
      <c r="B33" s="4" t="s">
        <v>46</v>
      </c>
      <c r="C33" s="5">
        <v>377.42291768019527</v>
      </c>
      <c r="D33" s="5">
        <v>787.01290648463532</v>
      </c>
      <c r="E33" s="5">
        <v>59.722999999999999</v>
      </c>
      <c r="F33" s="5">
        <v>15.96318739</v>
      </c>
      <c r="G33" s="5">
        <v>87.9</v>
      </c>
      <c r="H33" s="5">
        <v>50.881</v>
      </c>
      <c r="I33" s="5">
        <v>5.0343523000000001</v>
      </c>
      <c r="J33" s="5">
        <v>39.620929719999999</v>
      </c>
      <c r="K33" s="5">
        <v>22.254341130000004</v>
      </c>
      <c r="L33" s="5">
        <v>22.254341130000004</v>
      </c>
      <c r="M33" s="5">
        <f t="shared" si="2"/>
        <v>0</v>
      </c>
      <c r="N33" s="5"/>
      <c r="O33" s="5"/>
      <c r="P33" s="5">
        <v>77.74565887</v>
      </c>
      <c r="Q33" s="5"/>
      <c r="R33">
        <v>30</v>
      </c>
      <c r="S33" s="7">
        <v>0.39700000000000002</v>
      </c>
    </row>
    <row r="34" spans="1:19" x14ac:dyDescent="0.25">
      <c r="A34" s="2" t="s">
        <v>49</v>
      </c>
      <c r="B34" s="4" t="s">
        <v>48</v>
      </c>
      <c r="C34" s="5">
        <v>43596.135536554619</v>
      </c>
      <c r="D34" s="5">
        <v>44670.080538583774</v>
      </c>
      <c r="E34" s="5">
        <v>18.741</v>
      </c>
      <c r="F34" s="5">
        <v>99.255071229999999</v>
      </c>
      <c r="G34" s="5">
        <v>4.7</v>
      </c>
      <c r="H34" s="5">
        <v>81.900000000000006</v>
      </c>
      <c r="I34" s="5">
        <v>10.733204840000001</v>
      </c>
      <c r="J34" s="5">
        <v>4751.4433593800004</v>
      </c>
      <c r="K34" s="5">
        <v>70.628105160000004</v>
      </c>
      <c r="L34" s="5">
        <v>69.216491699999992</v>
      </c>
      <c r="M34" s="5">
        <f t="shared" si="2"/>
        <v>1.4116193100000001</v>
      </c>
      <c r="N34" s="5">
        <v>1.4116193100000001</v>
      </c>
      <c r="O34" s="5">
        <v>0</v>
      </c>
      <c r="P34" s="5">
        <v>29.371892930000001</v>
      </c>
      <c r="Q34" s="5">
        <v>0</v>
      </c>
      <c r="R34">
        <v>89</v>
      </c>
      <c r="S34" s="7">
        <v>0.92900000000000005</v>
      </c>
    </row>
    <row r="35" spans="1:19" x14ac:dyDescent="0.25">
      <c r="A35" s="2" t="s">
        <v>52</v>
      </c>
      <c r="B35" s="4" t="s">
        <v>51</v>
      </c>
      <c r="C35" s="5">
        <v>84776.142165974787</v>
      </c>
      <c r="D35" s="5">
        <v>66020.20433988412</v>
      </c>
      <c r="E35" s="5">
        <v>26.281999999999996</v>
      </c>
      <c r="F35" s="5">
        <v>99.895444870000006</v>
      </c>
      <c r="G35" s="5">
        <v>3.7</v>
      </c>
      <c r="H35" s="5">
        <v>82.897560975609764</v>
      </c>
      <c r="I35" s="5">
        <v>11.007949830000003</v>
      </c>
      <c r="J35" s="5">
        <v>7306.9331054699987</v>
      </c>
      <c r="K35" s="5">
        <v>66.231185909999994</v>
      </c>
      <c r="L35" s="5">
        <v>22.713853840000002</v>
      </c>
      <c r="M35" s="5">
        <f t="shared" si="2"/>
        <v>43.51733136</v>
      </c>
      <c r="N35" s="5">
        <v>3.5665981799999997</v>
      </c>
      <c r="O35" s="5">
        <v>39.95073318</v>
      </c>
      <c r="P35" s="5">
        <v>33.768814089999992</v>
      </c>
      <c r="Q35" s="5">
        <v>0</v>
      </c>
      <c r="R35">
        <v>84</v>
      </c>
      <c r="S35" s="7">
        <v>0.95499999999999996</v>
      </c>
    </row>
    <row r="36" spans="1:19" x14ac:dyDescent="0.25">
      <c r="A36" s="2" t="s">
        <v>352</v>
      </c>
      <c r="B36" s="4" t="s">
        <v>353</v>
      </c>
      <c r="C36" s="5"/>
      <c r="D36" s="5"/>
      <c r="E36" s="5">
        <v>69.037999999999997</v>
      </c>
      <c r="F36" s="5">
        <v>98.5</v>
      </c>
      <c r="G36" s="5"/>
      <c r="H36" s="5">
        <v>82.429000000000002</v>
      </c>
      <c r="I36" s="5"/>
      <c r="J36" s="5"/>
      <c r="K36" s="5"/>
      <c r="L36" s="5"/>
      <c r="M36" s="5"/>
      <c r="N36" s="5"/>
      <c r="O36" s="5"/>
      <c r="P36" s="5"/>
      <c r="Q36" s="5"/>
      <c r="S36" s="3"/>
    </row>
    <row r="37" spans="1:19" x14ac:dyDescent="0.25">
      <c r="A37" s="2" t="s">
        <v>54</v>
      </c>
      <c r="B37" s="4" t="s">
        <v>53</v>
      </c>
      <c r="C37" s="5">
        <v>13574.169237752412</v>
      </c>
      <c r="D37" s="5">
        <v>22698.545655544724</v>
      </c>
      <c r="E37" s="5">
        <v>12.64</v>
      </c>
      <c r="F37" s="5">
        <v>99.365890449999995</v>
      </c>
      <c r="G37" s="5">
        <v>6.7</v>
      </c>
      <c r="H37" s="5">
        <v>79.646000000000001</v>
      </c>
      <c r="I37" s="5">
        <v>8.3026914599999984</v>
      </c>
      <c r="J37" s="5">
        <v>1884.5906982400004</v>
      </c>
      <c r="K37" s="5">
        <v>58.746273039999991</v>
      </c>
      <c r="L37" s="5">
        <v>2.1298379899999995</v>
      </c>
      <c r="M37" s="5">
        <f t="shared" ref="M37:M48" si="3">SUM(N37:O37)</f>
        <v>56.616436960000009</v>
      </c>
      <c r="N37" s="5">
        <v>45.886890410000007</v>
      </c>
      <c r="O37" s="5">
        <v>10.72954655</v>
      </c>
      <c r="P37" s="5">
        <v>41.253723139999998</v>
      </c>
      <c r="Q37" s="5"/>
      <c r="R37">
        <v>77</v>
      </c>
      <c r="S37" s="7">
        <v>0.85099999999999998</v>
      </c>
    </row>
    <row r="38" spans="1:19" x14ac:dyDescent="0.25">
      <c r="A38" s="2" t="s">
        <v>56</v>
      </c>
      <c r="B38" s="4" t="s">
        <v>55</v>
      </c>
      <c r="C38" s="5">
        <v>8016.4314349800261</v>
      </c>
      <c r="D38" s="5">
        <v>12897.502286859244</v>
      </c>
      <c r="E38" s="5">
        <v>44.5</v>
      </c>
      <c r="F38" s="5">
        <v>84.43258668</v>
      </c>
      <c r="G38" s="5">
        <v>8.3000000000000007</v>
      </c>
      <c r="H38" s="5">
        <v>75.927999999999997</v>
      </c>
      <c r="I38" s="5">
        <v>4.9382796300000003</v>
      </c>
      <c r="J38" s="5">
        <v>627.63073729999985</v>
      </c>
      <c r="K38" s="5">
        <f>L38+M38</f>
        <v>99.991397860000006</v>
      </c>
      <c r="L38" s="5">
        <v>19.733276369999995</v>
      </c>
      <c r="M38" s="5">
        <f t="shared" si="3"/>
        <v>80.258121490000008</v>
      </c>
      <c r="N38" s="5">
        <v>40.44772339</v>
      </c>
      <c r="O38" s="5">
        <v>39.810398100000008</v>
      </c>
      <c r="P38" s="5">
        <v>8.5998199999999993E-3</v>
      </c>
      <c r="Q38" s="5"/>
      <c r="R38">
        <v>77</v>
      </c>
      <c r="S38" s="7">
        <v>0.76100000000000001</v>
      </c>
    </row>
    <row r="39" spans="1:19" x14ac:dyDescent="0.25">
      <c r="A39" s="2" t="s">
        <v>354</v>
      </c>
      <c r="B39" s="4" t="s">
        <v>57</v>
      </c>
      <c r="C39" s="5">
        <v>1972.545683058358</v>
      </c>
      <c r="D39" s="5">
        <v>4652.8896192009825</v>
      </c>
      <c r="E39" s="5">
        <v>50.555999999999997</v>
      </c>
      <c r="F39" s="5">
        <v>30.658296190000002</v>
      </c>
      <c r="G39" s="5">
        <v>65.7</v>
      </c>
      <c r="H39" s="5">
        <v>56.064999999999998</v>
      </c>
      <c r="I39" s="5">
        <v>3.2199089499999998</v>
      </c>
      <c r="J39" s="5">
        <v>149.81884765999999</v>
      </c>
      <c r="K39" s="5">
        <v>28.746280669999997</v>
      </c>
      <c r="L39" s="5">
        <v>28.099000929999999</v>
      </c>
      <c r="M39" s="5">
        <f t="shared" si="3"/>
        <v>0.64727908000000001</v>
      </c>
      <c r="N39" s="5">
        <v>0.64727908000000001</v>
      </c>
      <c r="O39" s="5">
        <v>0</v>
      </c>
      <c r="P39" s="5">
        <v>71.253723140000005</v>
      </c>
      <c r="Q39" s="5"/>
      <c r="R39">
        <v>43</v>
      </c>
      <c r="S39" s="7">
        <v>0.53800000000000003</v>
      </c>
    </row>
    <row r="40" spans="1:19" x14ac:dyDescent="0.25">
      <c r="A40" s="2" t="s">
        <v>59</v>
      </c>
      <c r="B40" s="4" t="s">
        <v>58</v>
      </c>
      <c r="C40" s="5">
        <v>1382.5097900241033</v>
      </c>
      <c r="D40" s="5">
        <v>3395.6289607087392</v>
      </c>
      <c r="E40" s="5">
        <v>45.421999999999997</v>
      </c>
      <c r="F40" s="5">
        <v>42.59281155</v>
      </c>
      <c r="G40" s="5">
        <v>57</v>
      </c>
      <c r="H40" s="5">
        <v>57.582999999999998</v>
      </c>
      <c r="I40" s="5">
        <v>3.7487919299999994</v>
      </c>
      <c r="J40" s="5">
        <v>122.23028564000001</v>
      </c>
      <c r="K40" s="5">
        <v>15.565131190000006</v>
      </c>
      <c r="L40" s="5">
        <v>15.565131190000006</v>
      </c>
      <c r="M40" s="5">
        <f t="shared" si="3"/>
        <v>0</v>
      </c>
      <c r="N40" s="5"/>
      <c r="O40" s="5"/>
      <c r="P40" s="5">
        <v>84.434867859999997</v>
      </c>
      <c r="Q40" s="5"/>
      <c r="R40">
        <v>41</v>
      </c>
      <c r="S40" s="7">
        <v>0.56299999999999994</v>
      </c>
    </row>
    <row r="41" spans="1:19" x14ac:dyDescent="0.25">
      <c r="A41" s="2" t="s">
        <v>355</v>
      </c>
      <c r="B41" s="4" t="s">
        <v>60</v>
      </c>
      <c r="C41" s="5">
        <v>497.3170390773646</v>
      </c>
      <c r="D41" s="5">
        <v>905.45059935323013</v>
      </c>
      <c r="E41" s="5">
        <v>57.26</v>
      </c>
      <c r="F41" s="5">
        <v>17.402839279999998</v>
      </c>
      <c r="G41" s="5">
        <v>73</v>
      </c>
      <c r="H41" s="5">
        <v>59.253999999999998</v>
      </c>
      <c r="I41" s="5">
        <v>3.96921349</v>
      </c>
      <c r="J41" s="5">
        <v>35.939266199999999</v>
      </c>
      <c r="K41" s="5">
        <v>44.663768769999997</v>
      </c>
      <c r="L41" s="5">
        <v>43.806999210000001</v>
      </c>
      <c r="M41" s="5">
        <f t="shared" si="3"/>
        <v>0.85677105000000009</v>
      </c>
      <c r="N41" s="5">
        <v>0.85677105000000009</v>
      </c>
      <c r="O41" s="5">
        <v>0</v>
      </c>
      <c r="P41" s="5">
        <v>55.336231229999996</v>
      </c>
      <c r="Q41" s="5"/>
      <c r="R41">
        <v>35</v>
      </c>
      <c r="S41" s="7">
        <v>0.48</v>
      </c>
    </row>
    <row r="42" spans="1:19" x14ac:dyDescent="0.25">
      <c r="A42" s="2" t="s">
        <v>356</v>
      </c>
      <c r="B42" s="4" t="s">
        <v>61</v>
      </c>
      <c r="C42" s="5">
        <v>2447.5393082704104</v>
      </c>
      <c r="D42" s="5">
        <v>4639.7445176718475</v>
      </c>
      <c r="E42" s="5">
        <v>34.456999999999994</v>
      </c>
      <c r="F42" s="5">
        <v>18.93692725</v>
      </c>
      <c r="G42" s="5">
        <v>37.6</v>
      </c>
      <c r="H42" s="5">
        <v>63.097000000000001</v>
      </c>
      <c r="I42" s="5">
        <v>2.4566848299999999</v>
      </c>
      <c r="J42" s="5">
        <v>113.98385620000002</v>
      </c>
      <c r="K42" s="5">
        <v>63.38189697</v>
      </c>
      <c r="L42" s="5">
        <v>63.38189697</v>
      </c>
      <c r="M42" s="5">
        <f t="shared" si="3"/>
        <v>0</v>
      </c>
      <c r="N42" s="5"/>
      <c r="O42" s="5"/>
      <c r="P42" s="5">
        <v>36.618103030000007</v>
      </c>
      <c r="Q42" s="5"/>
      <c r="R42">
        <v>40</v>
      </c>
      <c r="S42" s="7">
        <v>0.57399999999999995</v>
      </c>
    </row>
    <row r="43" spans="1:19" x14ac:dyDescent="0.25">
      <c r="A43" s="2" t="s">
        <v>63</v>
      </c>
      <c r="B43" s="4" t="s">
        <v>62</v>
      </c>
      <c r="C43" s="5">
        <v>6175.8760297025956</v>
      </c>
      <c r="D43" s="5">
        <v>13265.797256915119</v>
      </c>
      <c r="E43" s="5">
        <v>20.236000000000004</v>
      </c>
      <c r="F43" s="5">
        <v>89.031500879999996</v>
      </c>
      <c r="G43" s="5">
        <v>13.4</v>
      </c>
      <c r="H43" s="5">
        <v>76.531000000000006</v>
      </c>
      <c r="I43" s="5">
        <v>2.6980247499999996</v>
      </c>
      <c r="J43" s="5">
        <v>491.84536743000001</v>
      </c>
      <c r="K43" s="5">
        <v>90.840744020000017</v>
      </c>
      <c r="L43" s="5">
        <v>90.840744020000017</v>
      </c>
      <c r="M43" s="5">
        <f t="shared" si="3"/>
        <v>0</v>
      </c>
      <c r="N43" s="5"/>
      <c r="O43" s="5"/>
      <c r="P43" s="5">
        <v>7.65550423</v>
      </c>
      <c r="Q43" s="5">
        <v>1.50374794</v>
      </c>
      <c r="R43">
        <v>76</v>
      </c>
      <c r="S43" s="7">
        <v>0.76700000000000002</v>
      </c>
    </row>
    <row r="44" spans="1:19" x14ac:dyDescent="0.25">
      <c r="A44" s="2" t="s">
        <v>65</v>
      </c>
      <c r="B44" s="4" t="s">
        <v>64</v>
      </c>
      <c r="C44" s="5">
        <v>1242.5856078499926</v>
      </c>
      <c r="D44" s="5">
        <v>2709.5625399148648</v>
      </c>
      <c r="E44" s="5">
        <v>71.53</v>
      </c>
      <c r="F44" s="5">
        <v>35.815266680000001</v>
      </c>
      <c r="G44" s="5">
        <v>54.4</v>
      </c>
      <c r="H44" s="5">
        <v>63.470999999999997</v>
      </c>
      <c r="I44" s="5">
        <v>7.5233855200000006</v>
      </c>
      <c r="J44" s="5">
        <v>988.09460448999994</v>
      </c>
      <c r="K44" s="5">
        <v>76.303344729999978</v>
      </c>
      <c r="L44" s="5">
        <v>4.4060545000000007</v>
      </c>
      <c r="M44" s="5">
        <f t="shared" si="3"/>
        <v>71.897289749999999</v>
      </c>
      <c r="N44" s="5">
        <v>66.424987790000003</v>
      </c>
      <c r="O44" s="5">
        <v>5.4723019600000002</v>
      </c>
      <c r="P44" s="5">
        <v>23.696653369999996</v>
      </c>
      <c r="Q44" s="5"/>
      <c r="R44">
        <v>41</v>
      </c>
      <c r="S44" s="7">
        <v>0.55400000000000005</v>
      </c>
    </row>
    <row r="45" spans="1:19" x14ac:dyDescent="0.25">
      <c r="A45" s="2" t="s">
        <v>67</v>
      </c>
      <c r="B45" s="4" t="s">
        <v>66</v>
      </c>
      <c r="C45" s="5">
        <v>3043.0313815681075</v>
      </c>
      <c r="D45" s="5">
        <v>5994.4071029845582</v>
      </c>
      <c r="E45" s="5">
        <v>35.700000000000003</v>
      </c>
      <c r="F45" s="5">
        <v>70.341143810000005</v>
      </c>
      <c r="G45" s="5">
        <v>16.7</v>
      </c>
      <c r="H45" s="5">
        <v>72.117000000000004</v>
      </c>
      <c r="I45" s="5">
        <v>4.6008992200000005</v>
      </c>
      <c r="J45" s="5">
        <v>124.66600037000001</v>
      </c>
      <c r="K45" s="5">
        <v>19.786481859999999</v>
      </c>
      <c r="L45" s="5">
        <v>19.65191269</v>
      </c>
      <c r="M45" s="5">
        <f t="shared" si="3"/>
        <v>0.13456727999999998</v>
      </c>
      <c r="N45" s="5">
        <v>0.13456727999999998</v>
      </c>
      <c r="O45" s="5">
        <v>0</v>
      </c>
      <c r="P45" s="5">
        <v>80.213516240000004</v>
      </c>
      <c r="Q45" s="5"/>
      <c r="R45">
        <v>67</v>
      </c>
      <c r="S45" s="7">
        <v>0.66500000000000004</v>
      </c>
    </row>
    <row r="46" spans="1:19" x14ac:dyDescent="0.25">
      <c r="A46" s="2" t="s">
        <v>69</v>
      </c>
      <c r="B46" s="4" t="s">
        <v>68</v>
      </c>
      <c r="C46" s="5">
        <v>11642.778051719406</v>
      </c>
      <c r="D46" s="5">
        <v>17090.796576083023</v>
      </c>
      <c r="E46" s="5">
        <v>23.138000000000005</v>
      </c>
      <c r="F46" s="5">
        <v>97.043250619999995</v>
      </c>
      <c r="G46" s="5">
        <v>7.7</v>
      </c>
      <c r="H46" s="5">
        <v>79.564999999999998</v>
      </c>
      <c r="I46" s="5">
        <v>4.8200655000000001</v>
      </c>
      <c r="J46" s="5">
        <v>288.93249512</v>
      </c>
      <c r="K46" s="5">
        <v>68.385162350000002</v>
      </c>
      <c r="L46" s="5">
        <v>49.697387700000007</v>
      </c>
      <c r="M46" s="5">
        <f t="shared" si="3"/>
        <v>18.68777657</v>
      </c>
      <c r="N46" s="5">
        <v>18.68777657</v>
      </c>
      <c r="O46" s="5">
        <v>0</v>
      </c>
      <c r="P46" s="5">
        <v>31.614837649999991</v>
      </c>
      <c r="Q46" s="5"/>
      <c r="R46">
        <v>74</v>
      </c>
      <c r="S46" s="7">
        <v>0.81</v>
      </c>
    </row>
    <row r="47" spans="1:19" x14ac:dyDescent="0.25">
      <c r="A47" s="2" t="s">
        <v>71</v>
      </c>
      <c r="B47" s="4" t="s">
        <v>70</v>
      </c>
      <c r="C47" s="5">
        <v>7694.0146371094106</v>
      </c>
      <c r="D47" s="5">
        <v>12200</v>
      </c>
      <c r="E47" s="5">
        <v>23.103999999999999</v>
      </c>
      <c r="F47" s="5">
        <v>90.292412659999997</v>
      </c>
      <c r="G47" s="5">
        <v>4.5</v>
      </c>
      <c r="H47" s="5">
        <v>78.561000000000007</v>
      </c>
      <c r="I47" s="5">
        <v>7.5919618600000005</v>
      </c>
      <c r="J47" s="5">
        <v>1297.52697754</v>
      </c>
      <c r="K47" s="5">
        <v>74.64361572</v>
      </c>
      <c r="L47" s="5">
        <v>3.5993702399999998</v>
      </c>
      <c r="M47" s="5">
        <f t="shared" si="3"/>
        <v>71.044240590000015</v>
      </c>
      <c r="N47" s="5">
        <v>69.927124020000022</v>
      </c>
      <c r="O47" s="5">
        <v>1.1171165699999999</v>
      </c>
      <c r="P47" s="5">
        <v>25.356388090000003</v>
      </c>
      <c r="Q47" s="5"/>
      <c r="R47">
        <v>80</v>
      </c>
      <c r="S47" s="7">
        <v>0.78300000000000003</v>
      </c>
    </row>
    <row r="48" spans="1:19" x14ac:dyDescent="0.25">
      <c r="A48" s="2" t="s">
        <v>357</v>
      </c>
      <c r="B48" s="4" t="s">
        <v>358</v>
      </c>
      <c r="C48" s="5">
        <v>19951.327903044086</v>
      </c>
      <c r="D48" s="5">
        <v>25090.208124859619</v>
      </c>
      <c r="E48" s="5">
        <v>10.647999999999996</v>
      </c>
      <c r="F48" s="5">
        <v>98.950275120000001</v>
      </c>
      <c r="G48" s="5"/>
      <c r="H48" s="5">
        <v>78.075609756097577</v>
      </c>
      <c r="I48" s="5">
        <v>12.814013660000001</v>
      </c>
      <c r="J48" s="5">
        <v>3180.3604475299994</v>
      </c>
      <c r="K48" s="5">
        <v>90.331438500000004</v>
      </c>
      <c r="L48" s="5">
        <v>90.331438500000004</v>
      </c>
      <c r="M48" s="5">
        <f t="shared" si="3"/>
        <v>0</v>
      </c>
      <c r="N48" s="5"/>
      <c r="O48" s="5"/>
      <c r="P48" s="5">
        <v>9.6685614999999991</v>
      </c>
      <c r="Q48" s="5"/>
      <c r="S48" s="3"/>
    </row>
    <row r="49" spans="1:19" x14ac:dyDescent="0.25">
      <c r="A49" s="2" t="s">
        <v>359</v>
      </c>
      <c r="B49" s="4" t="s">
        <v>360</v>
      </c>
      <c r="C49" s="5">
        <v>76284.193928635927</v>
      </c>
      <c r="D49" s="5">
        <v>64233.533979904983</v>
      </c>
      <c r="E49" s="5">
        <v>0</v>
      </c>
      <c r="F49" s="5">
        <v>83.654025000000004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S49" s="3"/>
    </row>
    <row r="50" spans="1:19" x14ac:dyDescent="0.25">
      <c r="A50" s="2" t="s">
        <v>73</v>
      </c>
      <c r="B50" s="4" t="s">
        <v>72</v>
      </c>
      <c r="C50" s="5">
        <v>23408.3366816249</v>
      </c>
      <c r="D50" s="5">
        <v>31815.274040677799</v>
      </c>
      <c r="E50" s="5">
        <v>33.054000000000002</v>
      </c>
      <c r="F50" s="5">
        <v>99.461988439999999</v>
      </c>
      <c r="G50" s="5">
        <v>2.4</v>
      </c>
      <c r="H50" s="5">
        <v>80.349999999999994</v>
      </c>
      <c r="I50" s="5">
        <v>6.7535228700000003</v>
      </c>
      <c r="J50" s="5">
        <v>2150.3117675799999</v>
      </c>
      <c r="K50" s="5">
        <v>42.525253299999996</v>
      </c>
      <c r="L50" s="5">
        <v>42.196556089999994</v>
      </c>
      <c r="M50" s="5">
        <f t="shared" ref="M50:M66" si="4">SUM(N50:O50)</f>
        <v>0.32786884999999999</v>
      </c>
      <c r="N50" s="5">
        <v>0.32786884999999999</v>
      </c>
      <c r="O50" s="5">
        <v>0</v>
      </c>
      <c r="P50" s="5">
        <v>56.727104189999999</v>
      </c>
      <c r="Q50" s="5">
        <v>0.74846827999999999</v>
      </c>
      <c r="R50">
        <v>77</v>
      </c>
      <c r="S50" s="7">
        <v>0.88700000000000001</v>
      </c>
    </row>
    <row r="51" spans="1:19" x14ac:dyDescent="0.25">
      <c r="A51" s="2" t="s">
        <v>75</v>
      </c>
      <c r="B51" s="4" t="s">
        <v>74</v>
      </c>
      <c r="C51" s="5">
        <v>17829.698322366781</v>
      </c>
      <c r="D51" s="5">
        <v>33899.286566165654</v>
      </c>
      <c r="E51" s="5">
        <v>26.522999999999996</v>
      </c>
      <c r="F51" s="5">
        <v>99.135378630000005</v>
      </c>
      <c r="G51" s="5">
        <v>2.5</v>
      </c>
      <c r="H51" s="5">
        <v>78.578048780487805</v>
      </c>
      <c r="I51" s="5">
        <v>7.196415420000001</v>
      </c>
      <c r="J51" s="5">
        <v>2441.3352050799999</v>
      </c>
      <c r="K51" s="5">
        <v>82.370910640000005</v>
      </c>
      <c r="L51" s="5">
        <v>12.01512432</v>
      </c>
      <c r="M51" s="5">
        <f t="shared" si="4"/>
        <v>70.355789179999988</v>
      </c>
      <c r="N51" s="5">
        <v>70.355789179999988</v>
      </c>
      <c r="O51" s="5">
        <v>0</v>
      </c>
      <c r="P51" s="5">
        <v>17.629081729999999</v>
      </c>
      <c r="Q51" s="5">
        <v>0</v>
      </c>
      <c r="R51">
        <v>76</v>
      </c>
      <c r="S51" s="7">
        <v>0.9</v>
      </c>
    </row>
    <row r="52" spans="1:19" x14ac:dyDescent="0.25">
      <c r="A52" s="2" t="s">
        <v>77</v>
      </c>
      <c r="B52" s="4" t="s">
        <v>76</v>
      </c>
      <c r="C52" s="5">
        <v>41103.256436376832</v>
      </c>
      <c r="D52" s="5">
        <v>47609.781004581557</v>
      </c>
      <c r="E52" s="5">
        <v>22.8</v>
      </c>
      <c r="F52" s="5">
        <v>99.224855899999994</v>
      </c>
      <c r="G52" s="5">
        <v>3.3</v>
      </c>
      <c r="H52" s="5">
        <v>80.641463414634146</v>
      </c>
      <c r="I52" s="5">
        <v>11.183703419999999</v>
      </c>
      <c r="J52" s="5">
        <v>5356.6074218800004</v>
      </c>
      <c r="K52" s="5">
        <v>84.181785579999996</v>
      </c>
      <c r="L52" s="5">
        <v>6.8547062900000002</v>
      </c>
      <c r="M52" s="5">
        <f t="shared" si="4"/>
        <v>77.327379229999991</v>
      </c>
      <c r="N52" s="5">
        <v>69.795150759999999</v>
      </c>
      <c r="O52" s="5">
        <v>7.5322284699999997</v>
      </c>
      <c r="P52" s="5">
        <v>15.81821251</v>
      </c>
      <c r="Q52" s="5">
        <v>0</v>
      </c>
      <c r="R52">
        <v>84</v>
      </c>
      <c r="S52" s="7">
        <v>0.94699999999999995</v>
      </c>
    </row>
    <row r="53" spans="1:19" x14ac:dyDescent="0.25">
      <c r="A53" s="2" t="s">
        <v>79</v>
      </c>
      <c r="B53" s="4" t="s">
        <v>78</v>
      </c>
      <c r="C53" s="5">
        <v>2658.9492452823747</v>
      </c>
      <c r="D53" s="5">
        <v>4574.4498516572357</v>
      </c>
      <c r="E53" s="5">
        <v>22.582999999999998</v>
      </c>
      <c r="F53" s="5">
        <v>61.418904820000002</v>
      </c>
      <c r="G53" s="5">
        <v>54.6</v>
      </c>
      <c r="H53" s="5">
        <v>64.135999999999996</v>
      </c>
      <c r="I53" s="5">
        <v>3.075564860000001</v>
      </c>
      <c r="J53" s="5">
        <v>141.57090759000002</v>
      </c>
      <c r="K53" s="5">
        <v>77.565818789999994</v>
      </c>
      <c r="L53" s="5">
        <v>64.413078310000003</v>
      </c>
      <c r="M53" s="5">
        <f t="shared" si="4"/>
        <v>13.152745249999999</v>
      </c>
      <c r="N53" s="5">
        <v>13.152745249999999</v>
      </c>
      <c r="O53" s="5">
        <v>0</v>
      </c>
      <c r="P53" s="5">
        <v>22.434177399999999</v>
      </c>
      <c r="Q53" s="5">
        <v>0</v>
      </c>
      <c r="R53">
        <v>44</v>
      </c>
      <c r="S53" s="7">
        <v>0.52400000000000002</v>
      </c>
    </row>
    <row r="54" spans="1:19" x14ac:dyDescent="0.25">
      <c r="A54" s="2" t="s">
        <v>81</v>
      </c>
      <c r="B54" s="4" t="s">
        <v>80</v>
      </c>
      <c r="C54" s="5">
        <v>7597.2888940925468</v>
      </c>
      <c r="D54" s="5">
        <v>11141.201096328641</v>
      </c>
      <c r="E54" s="5">
        <v>30.421000000000006</v>
      </c>
      <c r="F54" s="5">
        <v>80.366424879999997</v>
      </c>
      <c r="G54" s="5">
        <v>27.5</v>
      </c>
      <c r="H54" s="5">
        <v>76.790000000000006</v>
      </c>
      <c r="I54" s="5">
        <v>5.1594181099999998</v>
      </c>
      <c r="J54" s="5">
        <v>574.76049804999991</v>
      </c>
      <c r="K54" s="5">
        <v>63.043689729999997</v>
      </c>
      <c r="L54" s="5">
        <v>63.042366029999997</v>
      </c>
      <c r="M54" s="5">
        <f t="shared" si="4"/>
        <v>1.3275399999999999E-3</v>
      </c>
      <c r="N54" s="5">
        <v>1.3275399999999999E-3</v>
      </c>
      <c r="O54" s="5">
        <v>0</v>
      </c>
      <c r="P54" s="5">
        <v>36.956306460000008</v>
      </c>
      <c r="Q54" s="5"/>
      <c r="R54">
        <v>66</v>
      </c>
      <c r="S54" s="7">
        <v>0.74199999999999999</v>
      </c>
    </row>
    <row r="55" spans="1:19" x14ac:dyDescent="0.25">
      <c r="A55" s="2" t="s">
        <v>83</v>
      </c>
      <c r="B55" s="4" t="s">
        <v>82</v>
      </c>
      <c r="C55" s="5">
        <v>53254.856370091584</v>
      </c>
      <c r="D55" s="5">
        <v>49045.339190410887</v>
      </c>
      <c r="E55" s="5">
        <v>12.474000000000004</v>
      </c>
      <c r="F55" s="5">
        <v>99.597228680000001</v>
      </c>
      <c r="G55" s="5">
        <v>3.5</v>
      </c>
      <c r="H55" s="5">
        <v>80.702439024390245</v>
      </c>
      <c r="I55" s="5">
        <v>10.227166180000001</v>
      </c>
      <c r="J55" s="5">
        <v>5037.0126953099989</v>
      </c>
      <c r="K55" s="5">
        <v>84.183197020000009</v>
      </c>
      <c r="L55" s="5">
        <v>84.183189389999981</v>
      </c>
      <c r="M55" s="5">
        <f t="shared" si="4"/>
        <v>0</v>
      </c>
      <c r="N55" s="5"/>
      <c r="O55" s="5"/>
      <c r="P55" s="5">
        <v>15.816802979999997</v>
      </c>
      <c r="Q55" s="5">
        <v>0</v>
      </c>
      <c r="R55">
        <v>83</v>
      </c>
      <c r="S55" s="7">
        <v>0.94</v>
      </c>
    </row>
    <row r="56" spans="1:19" x14ac:dyDescent="0.25">
      <c r="A56" s="2" t="s">
        <v>85</v>
      </c>
      <c r="B56" s="4" t="s">
        <v>84</v>
      </c>
      <c r="C56" s="5">
        <v>6921.5205943277633</v>
      </c>
      <c r="D56" s="5">
        <v>14740.826867423293</v>
      </c>
      <c r="E56" s="5">
        <v>21.433999999999997</v>
      </c>
      <c r="F56" s="5">
        <v>84.871409499999999</v>
      </c>
      <c r="G56" s="5">
        <v>28.8</v>
      </c>
      <c r="H56" s="5">
        <v>73.241</v>
      </c>
      <c r="I56" s="5">
        <v>5.7846322100000007</v>
      </c>
      <c r="J56" s="5">
        <v>852.70349121000004</v>
      </c>
      <c r="K56" s="5">
        <v>48.296333310000001</v>
      </c>
      <c r="L56" s="5">
        <v>24.100111009999999</v>
      </c>
      <c r="M56" s="5">
        <f t="shared" si="4"/>
        <v>24.196220399999998</v>
      </c>
      <c r="N56" s="5">
        <v>24.196220399999998</v>
      </c>
      <c r="O56" s="5">
        <v>0</v>
      </c>
      <c r="P56" s="5">
        <v>51.703666689999999</v>
      </c>
      <c r="Q56" s="5">
        <v>0</v>
      </c>
      <c r="R56">
        <v>63</v>
      </c>
      <c r="S56" s="7">
        <v>0.75600000000000001</v>
      </c>
    </row>
    <row r="57" spans="1:19" x14ac:dyDescent="0.25">
      <c r="A57" s="2" t="s">
        <v>87</v>
      </c>
      <c r="B57" s="4" t="s">
        <v>86</v>
      </c>
      <c r="C57" s="5">
        <v>4177.8895415169045</v>
      </c>
      <c r="D57" s="5">
        <v>12015.64052824268</v>
      </c>
      <c r="E57" s="5">
        <v>29.152000000000001</v>
      </c>
      <c r="F57" s="5">
        <v>86.742524290000006</v>
      </c>
      <c r="G57" s="5">
        <v>21.6</v>
      </c>
      <c r="H57" s="5">
        <v>76.09</v>
      </c>
      <c r="I57" s="5">
        <v>6.9784894000000008</v>
      </c>
      <c r="J57" s="5">
        <v>838.51031493999983</v>
      </c>
      <c r="K57" s="5">
        <v>70.474792479999991</v>
      </c>
      <c r="L57" s="5">
        <v>42.323486329999994</v>
      </c>
      <c r="M57" s="5">
        <f t="shared" si="4"/>
        <v>28.151306149999993</v>
      </c>
      <c r="N57" s="5">
        <v>28.151306149999993</v>
      </c>
      <c r="O57" s="5">
        <v>0</v>
      </c>
      <c r="P57" s="5">
        <v>29.525207519999991</v>
      </c>
      <c r="Q57" s="5"/>
      <c r="R57">
        <v>75</v>
      </c>
      <c r="S57" s="7">
        <v>0.748</v>
      </c>
    </row>
    <row r="58" spans="1:19" x14ac:dyDescent="0.25">
      <c r="A58" s="2" t="s">
        <v>89</v>
      </c>
      <c r="B58" s="4" t="s">
        <v>88</v>
      </c>
      <c r="C58" s="5">
        <v>6124.4908870713352</v>
      </c>
      <c r="D58" s="5">
        <v>11060.286268527483</v>
      </c>
      <c r="E58" s="5">
        <v>36.601999999999997</v>
      </c>
      <c r="F58" s="5">
        <v>86.447660619999994</v>
      </c>
      <c r="G58" s="5">
        <v>13.2</v>
      </c>
      <c r="H58" s="5">
        <v>76.143000000000001</v>
      </c>
      <c r="I58" s="5">
        <v>7.491494659999999</v>
      </c>
      <c r="J58" s="5">
        <v>828.5776977500002</v>
      </c>
      <c r="K58" s="5">
        <v>57.776142119999996</v>
      </c>
      <c r="L58" s="5">
        <v>32.96959305</v>
      </c>
      <c r="M58" s="5">
        <f t="shared" si="4"/>
        <v>24.806543009999992</v>
      </c>
      <c r="N58" s="5">
        <v>24.599514009999993</v>
      </c>
      <c r="O58" s="5">
        <v>0.20702899999999999</v>
      </c>
      <c r="P58" s="5">
        <v>42.223861689999993</v>
      </c>
      <c r="Q58" s="5"/>
      <c r="R58">
        <v>76</v>
      </c>
      <c r="S58" s="7">
        <v>0.75900000000000001</v>
      </c>
    </row>
    <row r="59" spans="1:19" x14ac:dyDescent="0.25">
      <c r="A59" s="2" t="s">
        <v>361</v>
      </c>
      <c r="B59" s="4" t="s">
        <v>90</v>
      </c>
      <c r="C59" s="5">
        <v>3562.9326579842254</v>
      </c>
      <c r="D59" s="5">
        <v>11512.402144263711</v>
      </c>
      <c r="E59" s="5">
        <v>57.215000000000003</v>
      </c>
      <c r="F59" s="5">
        <v>95.808334130000006</v>
      </c>
      <c r="G59" s="5">
        <v>19.8</v>
      </c>
      <c r="H59" s="5">
        <v>71.302000000000007</v>
      </c>
      <c r="I59" s="5">
        <v>5.3365726500000008</v>
      </c>
      <c r="J59" s="5">
        <v>614.36773682</v>
      </c>
      <c r="K59" s="5">
        <v>31.86779022</v>
      </c>
      <c r="L59" s="5">
        <v>27.065254209999999</v>
      </c>
      <c r="M59" s="5">
        <f t="shared" si="4"/>
        <v>4.8025345799999997</v>
      </c>
      <c r="N59" s="5">
        <v>4.8025345799999997</v>
      </c>
      <c r="O59" s="5">
        <v>0</v>
      </c>
      <c r="P59" s="5">
        <v>67.93005371000001</v>
      </c>
      <c r="Q59" s="5">
        <v>0.20215379999999999</v>
      </c>
      <c r="R59">
        <v>62</v>
      </c>
      <c r="S59" s="7">
        <v>0.70699999999999996</v>
      </c>
    </row>
    <row r="60" spans="1:19" x14ac:dyDescent="0.25">
      <c r="A60" s="2" t="s">
        <v>92</v>
      </c>
      <c r="B60" s="4" t="s">
        <v>91</v>
      </c>
      <c r="C60" s="5">
        <v>642.5</v>
      </c>
      <c r="D60" s="5">
        <v>1625.5</v>
      </c>
      <c r="E60" s="5">
        <v>64</v>
      </c>
      <c r="F60" s="5">
        <v>11.83791285</v>
      </c>
      <c r="G60" s="5">
        <v>34</v>
      </c>
      <c r="H60" s="5">
        <v>64.664000000000001</v>
      </c>
      <c r="I60" s="5">
        <v>4.4533548400000003</v>
      </c>
      <c r="J60" s="5">
        <v>70.767250060000009</v>
      </c>
      <c r="K60" s="5">
        <v>53.596038820000004</v>
      </c>
      <c r="L60" s="5">
        <v>53.596038820000004</v>
      </c>
      <c r="M60" s="5">
        <f t="shared" si="4"/>
        <v>0</v>
      </c>
      <c r="N60" s="5"/>
      <c r="O60" s="5"/>
      <c r="P60" s="5">
        <v>46.403965000000007</v>
      </c>
      <c r="Q60" s="5"/>
      <c r="R60">
        <v>46</v>
      </c>
      <c r="S60" s="7">
        <v>0.45900000000000002</v>
      </c>
    </row>
    <row r="61" spans="1:19" x14ac:dyDescent="0.25">
      <c r="A61" s="2" t="s">
        <v>94</v>
      </c>
      <c r="B61" s="4" t="s">
        <v>93</v>
      </c>
      <c r="C61" s="5">
        <v>25742.368834676654</v>
      </c>
      <c r="D61" s="5">
        <v>34903.127477947273</v>
      </c>
      <c r="E61" s="5">
        <v>20.397999999999996</v>
      </c>
      <c r="F61" s="5">
        <v>99.904330490000007</v>
      </c>
      <c r="G61" s="5">
        <v>2.7</v>
      </c>
      <c r="H61" s="5">
        <v>82.831707317073182</v>
      </c>
      <c r="I61" s="5">
        <v>9.1261720699999991</v>
      </c>
      <c r="J61" s="5">
        <v>3184.99487305</v>
      </c>
      <c r="K61" s="5">
        <v>71.315162660000013</v>
      </c>
      <c r="L61" s="5">
        <v>67.031188959999994</v>
      </c>
      <c r="M61" s="5">
        <f t="shared" si="4"/>
        <v>4.2839775099999997</v>
      </c>
      <c r="N61" s="5">
        <v>4.2839775099999997</v>
      </c>
      <c r="O61" s="5">
        <v>0</v>
      </c>
      <c r="P61" s="5">
        <v>28.684837340000001</v>
      </c>
      <c r="Q61" s="5">
        <v>0</v>
      </c>
      <c r="R61">
        <v>84</v>
      </c>
      <c r="S61" s="7">
        <v>0.90400000000000003</v>
      </c>
    </row>
    <row r="62" spans="1:19" x14ac:dyDescent="0.25">
      <c r="A62" s="2" t="s">
        <v>96</v>
      </c>
      <c r="B62" s="4" t="s">
        <v>95</v>
      </c>
      <c r="C62" s="5">
        <v>17402.037612807875</v>
      </c>
      <c r="D62" s="5">
        <v>29175.92592678935</v>
      </c>
      <c r="E62" s="5">
        <v>31.584000000000003</v>
      </c>
      <c r="F62" s="5">
        <v>99.132771020000007</v>
      </c>
      <c r="G62" s="5">
        <v>2.4</v>
      </c>
      <c r="H62" s="5">
        <v>77.590243902439028</v>
      </c>
      <c r="I62" s="5">
        <v>6.3462920200000008</v>
      </c>
      <c r="J62" s="5">
        <v>1865.88964844</v>
      </c>
      <c r="K62" s="5">
        <v>75.616043090000005</v>
      </c>
      <c r="L62" s="5">
        <v>10.796875949999999</v>
      </c>
      <c r="M62" s="5">
        <f t="shared" si="4"/>
        <v>64.819168089999991</v>
      </c>
      <c r="N62" s="5">
        <v>64.819168089999991</v>
      </c>
      <c r="O62" s="6">
        <v>0</v>
      </c>
      <c r="P62" s="5">
        <v>24.376375200000002</v>
      </c>
      <c r="Q62" s="5">
        <v>7.5820799999999997E-3</v>
      </c>
      <c r="R62">
        <v>75</v>
      </c>
      <c r="S62" s="7">
        <v>0.89200000000000002</v>
      </c>
    </row>
    <row r="63" spans="1:19" x14ac:dyDescent="0.25">
      <c r="A63" s="2" t="s">
        <v>98</v>
      </c>
      <c r="B63" s="4" t="s">
        <v>97</v>
      </c>
      <c r="C63" s="5">
        <v>640.54192307542189</v>
      </c>
      <c r="D63" s="5">
        <v>1657.3447042636453</v>
      </c>
      <c r="E63" s="5">
        <v>80.572000000000003</v>
      </c>
      <c r="F63" s="5">
        <v>7.4883742959999999</v>
      </c>
      <c r="G63" s="5">
        <v>43.2</v>
      </c>
      <c r="H63" s="5">
        <v>65.048000000000002</v>
      </c>
      <c r="I63" s="5">
        <v>3.8231711399999995</v>
      </c>
      <c r="J63" s="5">
        <v>63.363048549999995</v>
      </c>
      <c r="K63" s="5">
        <v>37.331012730000005</v>
      </c>
      <c r="L63" s="5">
        <v>37.331012730000005</v>
      </c>
      <c r="M63" s="5">
        <f t="shared" si="4"/>
        <v>0</v>
      </c>
      <c r="N63" s="5"/>
      <c r="O63" s="5"/>
      <c r="P63" s="5">
        <v>62.668991089999984</v>
      </c>
      <c r="Q63" s="5"/>
      <c r="R63">
        <v>37</v>
      </c>
      <c r="S63" s="7">
        <v>0.48499999999999999</v>
      </c>
    </row>
    <row r="64" spans="1:19" x14ac:dyDescent="0.25">
      <c r="A64" s="2" t="s">
        <v>100</v>
      </c>
      <c r="B64" s="4" t="s">
        <v>99</v>
      </c>
      <c r="C64" s="5">
        <v>42801.908116728511</v>
      </c>
      <c r="D64" s="5">
        <v>42497.704978578295</v>
      </c>
      <c r="E64" s="5">
        <v>14.775</v>
      </c>
      <c r="F64" s="5">
        <v>99.447946920000007</v>
      </c>
      <c r="G64" s="5">
        <v>2</v>
      </c>
      <c r="H64" s="5">
        <v>81.480487804878067</v>
      </c>
      <c r="I64" s="5">
        <v>9.6452388799999991</v>
      </c>
      <c r="J64" s="5">
        <v>4097.8154296899993</v>
      </c>
      <c r="K64" s="5">
        <v>76.940422060000003</v>
      </c>
      <c r="L64" s="5">
        <v>62.472938540000008</v>
      </c>
      <c r="M64" s="5">
        <f t="shared" si="4"/>
        <v>14.467482809999996</v>
      </c>
      <c r="N64" s="5">
        <v>13.335129739999996</v>
      </c>
      <c r="O64" s="5">
        <v>1.13235307</v>
      </c>
      <c r="P64" s="5">
        <v>23.059576030000002</v>
      </c>
      <c r="Q64" s="5">
        <v>0</v>
      </c>
      <c r="R64">
        <v>84</v>
      </c>
      <c r="S64" s="7">
        <v>0.93799999999999994</v>
      </c>
    </row>
    <row r="65" spans="1:19" x14ac:dyDescent="0.25">
      <c r="A65" s="2" t="s">
        <v>102</v>
      </c>
      <c r="B65" s="4" t="s">
        <v>101</v>
      </c>
      <c r="C65" s="5">
        <v>5390.7142070308455</v>
      </c>
      <c r="D65" s="5">
        <v>12412.350685871901</v>
      </c>
      <c r="E65" s="5">
        <v>45.274000000000001</v>
      </c>
      <c r="F65" s="5">
        <v>96.047892630000007</v>
      </c>
      <c r="G65" s="5">
        <v>20.6</v>
      </c>
      <c r="H65" s="5">
        <v>67.102999999999994</v>
      </c>
      <c r="I65" s="5">
        <v>3.3246893899999996</v>
      </c>
      <c r="J65" s="5">
        <v>412.66986084000007</v>
      </c>
      <c r="K65" s="5">
        <v>63.098018650000007</v>
      </c>
      <c r="L65" s="5">
        <v>63.098018650000007</v>
      </c>
      <c r="M65" s="5">
        <f t="shared" si="4"/>
        <v>0</v>
      </c>
      <c r="N65" s="5"/>
      <c r="O65" s="5"/>
      <c r="P65" s="5">
        <v>34.551998140000009</v>
      </c>
      <c r="Q65" s="5">
        <v>2.3499791600000002</v>
      </c>
      <c r="R65">
        <v>58</v>
      </c>
      <c r="S65" s="7">
        <v>0.74299999999999999</v>
      </c>
    </row>
    <row r="66" spans="1:19" x14ac:dyDescent="0.25">
      <c r="A66" s="2" t="s">
        <v>104</v>
      </c>
      <c r="B66" s="4" t="s">
        <v>103</v>
      </c>
      <c r="C66" s="5">
        <v>36652.922305217762</v>
      </c>
      <c r="D66" s="5">
        <v>40849.997378050073</v>
      </c>
      <c r="E66" s="5">
        <v>20.344999999999999</v>
      </c>
      <c r="F66" s="5">
        <v>98.651596179999999</v>
      </c>
      <c r="G66" s="5">
        <v>3.2</v>
      </c>
      <c r="H66" s="5">
        <v>82.321951219512201</v>
      </c>
      <c r="I66" s="5">
        <v>11.447556499999999</v>
      </c>
      <c r="J66" s="5">
        <v>4682.6674804699996</v>
      </c>
      <c r="K66" s="5">
        <v>76.59883880999999</v>
      </c>
      <c r="L66" s="5">
        <v>5.2417254399999988</v>
      </c>
      <c r="M66" s="5">
        <f t="shared" si="4"/>
        <v>71.357116699999992</v>
      </c>
      <c r="N66" s="5">
        <v>71.357116699999992</v>
      </c>
      <c r="O66" s="5">
        <v>0</v>
      </c>
      <c r="P66" s="5">
        <v>23.40116119</v>
      </c>
      <c r="Q66" s="5"/>
      <c r="R66">
        <v>83</v>
      </c>
      <c r="S66" s="7">
        <v>0.90100000000000002</v>
      </c>
    </row>
    <row r="67" spans="1:19" x14ac:dyDescent="0.25">
      <c r="A67" s="2" t="s">
        <v>362</v>
      </c>
      <c r="B67" s="4" t="s">
        <v>363</v>
      </c>
      <c r="C67" s="5">
        <v>52400.29727638355</v>
      </c>
      <c r="D67" s="5"/>
      <c r="E67" s="5">
        <v>58.362000000000002</v>
      </c>
      <c r="F67" s="5">
        <v>90.883475720000007</v>
      </c>
      <c r="G67" s="5"/>
      <c r="H67" s="5">
        <v>81.792682926829286</v>
      </c>
      <c r="I67" s="5"/>
      <c r="J67" s="5"/>
      <c r="K67" s="5"/>
      <c r="L67" s="5"/>
      <c r="M67" s="5"/>
      <c r="N67" s="5"/>
      <c r="O67" s="5"/>
      <c r="P67" s="5"/>
      <c r="Q67" s="5"/>
      <c r="S67" s="3"/>
    </row>
    <row r="68" spans="1:19" x14ac:dyDescent="0.25">
      <c r="A68" s="2" t="s">
        <v>364</v>
      </c>
      <c r="B68" s="4" t="s">
        <v>105</v>
      </c>
      <c r="C68" s="5">
        <v>2906.6170122880812</v>
      </c>
      <c r="D68" s="5">
        <v>3349.5248055265097</v>
      </c>
      <c r="E68" s="5">
        <v>77.543999999999997</v>
      </c>
      <c r="F68" s="5">
        <v>88.309331549999996</v>
      </c>
      <c r="G68" s="5">
        <v>24.2</v>
      </c>
      <c r="H68" s="5">
        <v>67.314999999999998</v>
      </c>
      <c r="I68" s="5">
        <v>12.456487660000001</v>
      </c>
      <c r="J68" s="5">
        <v>366.97674561000008</v>
      </c>
      <c r="K68" s="5">
        <v>94.778457640000013</v>
      </c>
      <c r="L68" s="5">
        <v>74.847045899999983</v>
      </c>
      <c r="M68" s="5">
        <f>SUM(N68:O68)</f>
        <v>19.931406020000004</v>
      </c>
      <c r="N68" s="5">
        <v>19.931406020000004</v>
      </c>
      <c r="O68" s="5">
        <v>0</v>
      </c>
      <c r="P68" s="5">
        <v>5.2215480799999998</v>
      </c>
      <c r="Q68" s="5"/>
      <c r="R68">
        <v>46</v>
      </c>
      <c r="S68" s="7">
        <v>0.62</v>
      </c>
    </row>
    <row r="69" spans="1:19" x14ac:dyDescent="0.25">
      <c r="A69" s="2" t="s">
        <v>107</v>
      </c>
      <c r="B69" s="4" t="s">
        <v>106</v>
      </c>
      <c r="C69" s="5">
        <v>7384.7007039307146</v>
      </c>
      <c r="D69" s="5">
        <v>14699.536047834939</v>
      </c>
      <c r="E69" s="5">
        <v>11.882000000000005</v>
      </c>
      <c r="F69" s="5">
        <v>48.619434640000001</v>
      </c>
      <c r="G69" s="5">
        <v>36.1</v>
      </c>
      <c r="H69" s="5">
        <v>64.912999999999997</v>
      </c>
      <c r="I69" s="5">
        <v>2.6574377999999994</v>
      </c>
      <c r="J69" s="5">
        <v>390.63128662000003</v>
      </c>
      <c r="K69" s="5">
        <v>58.813476560000005</v>
      </c>
      <c r="L69" s="5">
        <v>34.214355470000001</v>
      </c>
      <c r="M69" s="5">
        <f>SUM(N69:O69)</f>
        <v>24.59912491</v>
      </c>
      <c r="N69" s="5">
        <v>24.59912491</v>
      </c>
      <c r="O69" s="5">
        <v>0</v>
      </c>
      <c r="P69" s="5">
        <v>40.365509030000005</v>
      </c>
      <c r="Q69" s="5">
        <v>0.82101429000000015</v>
      </c>
      <c r="R69">
        <v>51</v>
      </c>
      <c r="S69" s="7">
        <v>0.70299999999999996</v>
      </c>
    </row>
    <row r="70" spans="1:19" x14ac:dyDescent="0.25">
      <c r="A70" s="2" t="s">
        <v>365</v>
      </c>
      <c r="B70" s="4" t="s">
        <v>108</v>
      </c>
      <c r="C70" s="5">
        <v>45404.567773472154</v>
      </c>
      <c r="D70" s="5">
        <v>42912.87509362014</v>
      </c>
      <c r="E70" s="5">
        <v>17.373999999999995</v>
      </c>
      <c r="F70" s="5">
        <v>99.112561900000003</v>
      </c>
      <c r="G70" s="5">
        <v>3.8</v>
      </c>
      <c r="H70" s="5">
        <v>80.956097560975621</v>
      </c>
      <c r="I70" s="5">
        <v>9.9007244099999987</v>
      </c>
      <c r="J70" s="5">
        <v>4231.5800781300004</v>
      </c>
      <c r="K70" s="5">
        <v>79.369201659999987</v>
      </c>
      <c r="L70" s="5">
        <v>79.369201659999987</v>
      </c>
      <c r="M70" s="5">
        <f>SUM(N70:O70)</f>
        <v>0</v>
      </c>
      <c r="N70" s="5"/>
      <c r="O70" s="5"/>
      <c r="P70" s="5">
        <v>20.630792619999998</v>
      </c>
      <c r="Q70" s="5">
        <v>0</v>
      </c>
      <c r="R70">
        <v>87</v>
      </c>
      <c r="S70" s="7">
        <v>0.93200000000000005</v>
      </c>
    </row>
    <row r="71" spans="1:19" x14ac:dyDescent="0.25">
      <c r="A71" s="2" t="s">
        <v>110</v>
      </c>
      <c r="B71" s="4" t="s">
        <v>109</v>
      </c>
      <c r="C71" s="5">
        <v>4014.1859441932947</v>
      </c>
      <c r="D71" s="5">
        <v>12089.169405044702</v>
      </c>
      <c r="E71" s="5">
        <v>42.552</v>
      </c>
      <c r="F71" s="5">
        <v>86.627290180000003</v>
      </c>
      <c r="G71" s="5">
        <v>9.4</v>
      </c>
      <c r="H71" s="5">
        <v>72.972999999999999</v>
      </c>
      <c r="I71" s="5">
        <v>7.4230151199999996</v>
      </c>
      <c r="J71" s="5">
        <v>830.72546386999988</v>
      </c>
      <c r="K71" s="5">
        <v>34.934497829999991</v>
      </c>
      <c r="L71" s="5">
        <v>34.934497829999991</v>
      </c>
      <c r="M71" s="5">
        <f>SUM(N71:O71)</f>
        <v>0</v>
      </c>
      <c r="N71" s="5"/>
      <c r="O71" s="5"/>
      <c r="P71" s="5">
        <v>65.065505979999998</v>
      </c>
      <c r="Q71" s="5"/>
      <c r="R71">
        <v>65</v>
      </c>
      <c r="S71" s="7">
        <v>0.81200000000000006</v>
      </c>
    </row>
    <row r="72" spans="1:19" x14ac:dyDescent="0.25">
      <c r="A72" s="2" t="s">
        <v>112</v>
      </c>
      <c r="B72" s="4" t="s">
        <v>111</v>
      </c>
      <c r="C72" s="5">
        <v>1774.0747709250811</v>
      </c>
      <c r="D72" s="5">
        <v>5206.0288713400696</v>
      </c>
      <c r="E72" s="5">
        <v>45.914000000000001</v>
      </c>
      <c r="F72" s="5">
        <v>19.075401200000002</v>
      </c>
      <c r="G72" s="5">
        <v>38.799999999999997</v>
      </c>
      <c r="H72" s="5">
        <v>62.771999999999998</v>
      </c>
      <c r="I72" s="5">
        <v>4.6217145899999998</v>
      </c>
      <c r="J72" s="5">
        <v>236.50868225000005</v>
      </c>
      <c r="K72" s="5">
        <v>51.789695739999992</v>
      </c>
      <c r="L72" s="5">
        <v>42.727054599999988</v>
      </c>
      <c r="M72" s="5">
        <f>SUM(N72:O72)</f>
        <v>9.0626392400000011</v>
      </c>
      <c r="N72" s="5">
        <v>9.0626392400000011</v>
      </c>
      <c r="O72" s="5">
        <v>0</v>
      </c>
      <c r="P72" s="5">
        <v>45.899066929999996</v>
      </c>
      <c r="Q72" s="5">
        <v>2.3112368600000002</v>
      </c>
      <c r="R72">
        <v>41</v>
      </c>
      <c r="S72" s="7">
        <v>0.61099999999999999</v>
      </c>
    </row>
    <row r="73" spans="1:19" x14ac:dyDescent="0.25">
      <c r="A73" s="2" t="s">
        <v>366</v>
      </c>
      <c r="B73" s="4" t="s">
        <v>367</v>
      </c>
      <c r="C73" s="5"/>
      <c r="D73" s="5"/>
      <c r="E73" s="5">
        <v>0</v>
      </c>
      <c r="F73" s="5">
        <v>100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S73" s="3"/>
    </row>
    <row r="74" spans="1:19" x14ac:dyDescent="0.25">
      <c r="A74" s="2" t="s">
        <v>114</v>
      </c>
      <c r="B74" s="4" t="s">
        <v>113</v>
      </c>
      <c r="C74" s="5">
        <v>769.25547543282175</v>
      </c>
      <c r="D74" s="5">
        <v>1819.3623427497621</v>
      </c>
      <c r="E74" s="5">
        <v>64.859000000000009</v>
      </c>
      <c r="F74" s="5">
        <v>23.597053420000002</v>
      </c>
      <c r="G74" s="5">
        <v>68.400000000000006</v>
      </c>
      <c r="H74" s="5">
        <v>59.597999999999999</v>
      </c>
      <c r="I74" s="5">
        <v>5.8092060100000005</v>
      </c>
      <c r="J74" s="5">
        <v>105.69033813000001</v>
      </c>
      <c r="K74" s="5">
        <v>28.66224098</v>
      </c>
      <c r="L74" s="5">
        <v>27.141571039999995</v>
      </c>
      <c r="M74" s="5">
        <f t="shared" ref="M74:M79" si="5">SUM(N74:O74)</f>
        <v>1.5206670800000002</v>
      </c>
      <c r="N74" s="5">
        <v>1.5206670800000002</v>
      </c>
      <c r="O74" s="5">
        <v>0</v>
      </c>
      <c r="P74" s="5">
        <v>70.631370540000006</v>
      </c>
      <c r="Q74" s="5">
        <v>0.70638561000000011</v>
      </c>
      <c r="R74">
        <v>33</v>
      </c>
      <c r="S74" s="7">
        <v>0.47699999999999998</v>
      </c>
    </row>
    <row r="75" spans="1:19" x14ac:dyDescent="0.25">
      <c r="A75" s="2" t="s">
        <v>368</v>
      </c>
      <c r="B75" s="4" t="s">
        <v>115</v>
      </c>
      <c r="C75" s="5">
        <v>660.72357124432176</v>
      </c>
      <c r="D75" s="5">
        <v>2066.8593586011671</v>
      </c>
      <c r="E75" s="5">
        <v>40.771999999999998</v>
      </c>
      <c r="F75" s="5">
        <v>46.299776420000001</v>
      </c>
      <c r="G75" s="5">
        <v>39.700000000000003</v>
      </c>
      <c r="H75" s="5">
        <v>60.91</v>
      </c>
      <c r="I75" s="5">
        <v>3.1761293400000006</v>
      </c>
      <c r="J75" s="5">
        <v>65.646057130000003</v>
      </c>
      <c r="K75" s="5">
        <v>47.212471010000009</v>
      </c>
      <c r="L75" s="5">
        <v>47.212471010000009</v>
      </c>
      <c r="M75" s="5">
        <f t="shared" si="5"/>
        <v>0</v>
      </c>
      <c r="N75" s="5"/>
      <c r="O75" s="5"/>
      <c r="P75" s="5">
        <v>52.787528989999998</v>
      </c>
      <c r="Q75" s="5"/>
      <c r="R75">
        <v>45</v>
      </c>
      <c r="S75" s="7">
        <v>0.496</v>
      </c>
    </row>
    <row r="76" spans="1:19" x14ac:dyDescent="0.25">
      <c r="A76" s="2" t="s">
        <v>117</v>
      </c>
      <c r="B76" s="4" t="s">
        <v>116</v>
      </c>
      <c r="C76" s="5">
        <v>603.39938154773279</v>
      </c>
      <c r="D76" s="5">
        <v>1597.2042542936426</v>
      </c>
      <c r="E76" s="5">
        <v>57.877000000000002</v>
      </c>
      <c r="F76" s="5">
        <v>14.49005184</v>
      </c>
      <c r="G76" s="5">
        <v>60</v>
      </c>
      <c r="H76" s="5">
        <v>56.959000000000003</v>
      </c>
      <c r="I76" s="5">
        <v>8.1322822600000002</v>
      </c>
      <c r="J76" s="5">
        <v>142.79565429999997</v>
      </c>
      <c r="K76" s="5">
        <v>13.386435509999998</v>
      </c>
      <c r="L76" s="5">
        <v>13.386435509999998</v>
      </c>
      <c r="M76" s="5">
        <f t="shared" si="5"/>
        <v>0</v>
      </c>
      <c r="N76" s="5"/>
      <c r="O76" s="5"/>
      <c r="P76" s="5">
        <v>86.613563539999973</v>
      </c>
      <c r="Q76" s="5"/>
      <c r="R76">
        <v>38</v>
      </c>
      <c r="S76" s="7">
        <v>0.48</v>
      </c>
    </row>
    <row r="77" spans="1:19" x14ac:dyDescent="0.25">
      <c r="A77" s="2" t="s">
        <v>119</v>
      </c>
      <c r="B77" s="4" t="s">
        <v>118</v>
      </c>
      <c r="C77" s="5">
        <v>11283.398054387149</v>
      </c>
      <c r="D77" s="5">
        <v>24042.353072891299</v>
      </c>
      <c r="E77" s="5">
        <v>29.384</v>
      </c>
      <c r="F77" s="5">
        <v>66.182524790000002</v>
      </c>
      <c r="G77" s="5">
        <v>67.599999999999994</v>
      </c>
      <c r="H77" s="5">
        <v>57.359000000000002</v>
      </c>
      <c r="I77" s="5">
        <v>2.9153330300000002</v>
      </c>
      <c r="J77" s="5">
        <v>700.91888428000004</v>
      </c>
      <c r="K77" s="5">
        <v>19.693735119999996</v>
      </c>
      <c r="L77" s="5">
        <v>18.671699520000001</v>
      </c>
      <c r="M77" s="5">
        <f t="shared" si="5"/>
        <v>1.0220359599999997</v>
      </c>
      <c r="N77" s="5">
        <v>1.0220359599999997</v>
      </c>
      <c r="O77" s="5">
        <v>0</v>
      </c>
      <c r="P77" s="5">
        <v>80.306259159999996</v>
      </c>
      <c r="Q77" s="5"/>
      <c r="R77">
        <v>40</v>
      </c>
      <c r="S77" s="7">
        <v>0.59199999999999997</v>
      </c>
    </row>
    <row r="78" spans="1:19" x14ac:dyDescent="0.25">
      <c r="A78" s="2" t="s">
        <v>121</v>
      </c>
      <c r="B78" s="4" t="s">
        <v>120</v>
      </c>
      <c r="C78" s="5">
        <v>18083.877905654695</v>
      </c>
      <c r="D78" s="5">
        <v>26760.363303025646</v>
      </c>
      <c r="E78" s="5">
        <v>21.953999999999994</v>
      </c>
      <c r="F78" s="5">
        <v>98.975974039999997</v>
      </c>
      <c r="G78" s="5">
        <v>3.8</v>
      </c>
      <c r="H78" s="5">
        <v>81.036585365853668</v>
      </c>
      <c r="I78" s="5">
        <v>8.0689239500000003</v>
      </c>
      <c r="J78" s="5">
        <v>2148.7329101599998</v>
      </c>
      <c r="K78" s="5">
        <v>57.583778379999991</v>
      </c>
      <c r="L78" s="5">
        <v>28.765464780000002</v>
      </c>
      <c r="M78" s="5">
        <f t="shared" si="5"/>
        <v>28.818311689999994</v>
      </c>
      <c r="N78" s="5">
        <v>28.818311689999994</v>
      </c>
      <c r="O78" s="5">
        <v>0</v>
      </c>
      <c r="P78" s="5">
        <v>40.771980290000002</v>
      </c>
      <c r="Q78" s="5">
        <v>1.6442414500000002</v>
      </c>
      <c r="R78">
        <v>75</v>
      </c>
      <c r="S78" s="7">
        <v>0.88800000000000001</v>
      </c>
    </row>
    <row r="79" spans="1:19" x14ac:dyDescent="0.25">
      <c r="A79" s="2" t="s">
        <v>369</v>
      </c>
      <c r="B79" s="4" t="s">
        <v>370</v>
      </c>
      <c r="C79" s="5">
        <v>9096.5386524632158</v>
      </c>
      <c r="D79" s="5">
        <v>14151.901069075442</v>
      </c>
      <c r="E79" s="5">
        <v>64.003</v>
      </c>
      <c r="F79" s="5">
        <v>91.493892130000006</v>
      </c>
      <c r="G79" s="5">
        <v>14.3</v>
      </c>
      <c r="H79" s="5">
        <v>72.444999999999993</v>
      </c>
      <c r="I79" s="5">
        <v>4.6467561699999997</v>
      </c>
      <c r="J79" s="5">
        <v>657.64758300999995</v>
      </c>
      <c r="K79" s="5">
        <v>41.789688110000007</v>
      </c>
      <c r="L79" s="5">
        <v>41.677959439999995</v>
      </c>
      <c r="M79" s="5">
        <f t="shared" si="5"/>
        <v>0.11173093999999999</v>
      </c>
      <c r="N79" s="5">
        <v>0.11173093999999999</v>
      </c>
      <c r="O79" s="5">
        <v>0</v>
      </c>
      <c r="P79" s="5">
        <v>58.210308070000011</v>
      </c>
      <c r="Q79" s="5"/>
      <c r="R79">
        <v>67</v>
      </c>
      <c r="S79" s="7">
        <v>0.77900000000000003</v>
      </c>
    </row>
    <row r="80" spans="1:19" x14ac:dyDescent="0.25">
      <c r="A80" s="2" t="s">
        <v>371</v>
      </c>
      <c r="B80" s="4" t="s">
        <v>372</v>
      </c>
      <c r="C80" s="5">
        <v>44536.401308099936</v>
      </c>
      <c r="D80" s="5"/>
      <c r="E80" s="5">
        <v>13.929000000000002</v>
      </c>
      <c r="F80" s="5">
        <v>99.597236710000004</v>
      </c>
      <c r="G80" s="5"/>
      <c r="H80" s="5">
        <v>71.977317073170724</v>
      </c>
      <c r="I80" s="5"/>
      <c r="J80" s="5"/>
      <c r="K80" s="5"/>
      <c r="L80" s="5"/>
      <c r="M80" s="5"/>
      <c r="N80" s="5"/>
      <c r="O80" s="5"/>
      <c r="P80" s="5"/>
      <c r="Q80" s="5"/>
      <c r="S80" s="3"/>
    </row>
    <row r="81" spans="1:19" x14ac:dyDescent="0.25">
      <c r="A81" s="2" t="s">
        <v>123</v>
      </c>
      <c r="B81" s="4" t="s">
        <v>122</v>
      </c>
      <c r="C81" s="5">
        <v>3994.636912884745</v>
      </c>
      <c r="D81" s="5">
        <v>8194.44068126819</v>
      </c>
      <c r="E81" s="5">
        <v>50.029000000000003</v>
      </c>
      <c r="F81" s="5">
        <v>66.671259059999997</v>
      </c>
      <c r="G81" s="5">
        <v>23.7</v>
      </c>
      <c r="H81" s="5">
        <v>73.25</v>
      </c>
      <c r="I81" s="5">
        <v>6.0060205499999997</v>
      </c>
      <c r="J81" s="5">
        <v>471.41632079999999</v>
      </c>
      <c r="K81" s="5">
        <v>37.018775939999998</v>
      </c>
      <c r="L81" s="5">
        <v>17.440786359999997</v>
      </c>
      <c r="M81" s="5">
        <f>SUM(N81:O81)</f>
        <v>19.577989580000001</v>
      </c>
      <c r="N81" s="5">
        <v>19.577989580000001</v>
      </c>
      <c r="O81" s="6">
        <v>0</v>
      </c>
      <c r="P81" s="5">
        <v>62.981224060000002</v>
      </c>
      <c r="Q81" s="5"/>
      <c r="R81">
        <v>57</v>
      </c>
      <c r="S81" s="7">
        <v>0.66300000000000003</v>
      </c>
    </row>
    <row r="82" spans="1:19" x14ac:dyDescent="0.25">
      <c r="A82" s="2" t="s">
        <v>373</v>
      </c>
      <c r="B82" s="4" t="s">
        <v>374</v>
      </c>
      <c r="C82" s="5">
        <v>35829.250359898921</v>
      </c>
      <c r="D82" s="5"/>
      <c r="E82" s="5">
        <v>5.465999999999994</v>
      </c>
      <c r="F82" s="5">
        <v>90.350765510000002</v>
      </c>
      <c r="G82" s="5"/>
      <c r="H82" s="5">
        <v>79.144000000000005</v>
      </c>
      <c r="I82" s="5"/>
      <c r="J82" s="5"/>
      <c r="K82" s="5"/>
      <c r="L82" s="5"/>
      <c r="M82" s="5"/>
      <c r="N82" s="5"/>
      <c r="O82" s="5"/>
      <c r="P82" s="5"/>
      <c r="Q82" s="5"/>
      <c r="S82" s="3"/>
    </row>
    <row r="83" spans="1:19" x14ac:dyDescent="0.25">
      <c r="A83" s="2" t="s">
        <v>125</v>
      </c>
      <c r="B83" s="4" t="s">
        <v>124</v>
      </c>
      <c r="C83" s="5">
        <v>5576.8258515135531</v>
      </c>
      <c r="D83" s="5">
        <v>11198.301146318101</v>
      </c>
      <c r="E83" s="5">
        <v>73.558999999999997</v>
      </c>
      <c r="F83" s="5">
        <v>85.346487109999998</v>
      </c>
      <c r="G83" s="5">
        <v>27.4</v>
      </c>
      <c r="H83" s="5">
        <v>69.262</v>
      </c>
      <c r="I83" s="5">
        <v>4.0226478600000002</v>
      </c>
      <c r="J83" s="5">
        <v>450.46878052</v>
      </c>
      <c r="K83" s="5">
        <v>58.779571529999998</v>
      </c>
      <c r="L83" s="5">
        <v>56.397621149999999</v>
      </c>
      <c r="M83" s="5">
        <f>SUM(N83:O83)</f>
        <v>2.3819525199999996</v>
      </c>
      <c r="N83" s="5">
        <v>2.3819525199999996</v>
      </c>
      <c r="O83" s="5">
        <v>0</v>
      </c>
      <c r="P83" s="5">
        <v>41.220428469999995</v>
      </c>
      <c r="Q83" s="5"/>
      <c r="R83">
        <v>72</v>
      </c>
      <c r="S83" s="7">
        <v>0.68200000000000005</v>
      </c>
    </row>
    <row r="84" spans="1:19" x14ac:dyDescent="0.25">
      <c r="A84" s="2" t="s">
        <v>375</v>
      </c>
      <c r="B84" s="4" t="s">
        <v>126</v>
      </c>
      <c r="C84" s="5">
        <v>42431.88828172769</v>
      </c>
      <c r="D84" s="5">
        <v>56408.936273748004</v>
      </c>
      <c r="E84" s="5">
        <v>0</v>
      </c>
      <c r="F84" s="5">
        <v>96.570079089999993</v>
      </c>
      <c r="G84" s="5"/>
      <c r="H84" s="5">
        <v>84.278048780487822</v>
      </c>
      <c r="I84" s="5"/>
      <c r="J84" s="5"/>
      <c r="K84" s="5"/>
      <c r="L84" s="5"/>
      <c r="M84" s="5"/>
      <c r="N84" s="5"/>
      <c r="O84" s="5"/>
      <c r="P84" s="5"/>
      <c r="Q84" s="5"/>
      <c r="S84" s="7">
        <v>0.94899999999999995</v>
      </c>
    </row>
    <row r="85" spans="1:19" x14ac:dyDescent="0.25">
      <c r="A85" s="2" t="s">
        <v>128</v>
      </c>
      <c r="B85" s="4" t="s">
        <v>127</v>
      </c>
      <c r="C85" s="5">
        <v>2286.2030368733344</v>
      </c>
      <c r="D85" s="5">
        <v>4823.3953955250663</v>
      </c>
      <c r="E85" s="5">
        <v>44.835000000000001</v>
      </c>
      <c r="F85" s="5">
        <v>78.975953669999996</v>
      </c>
      <c r="G85" s="5">
        <v>16.5</v>
      </c>
      <c r="H85" s="5">
        <v>74.495000000000005</v>
      </c>
      <c r="I85" s="5">
        <v>7.4837899200000013</v>
      </c>
      <c r="J85" s="5">
        <v>360.97216796999993</v>
      </c>
      <c r="K85" s="5">
        <v>43.16814423000001</v>
      </c>
      <c r="L85" s="5">
        <v>30.908943180000001</v>
      </c>
      <c r="M85" s="5">
        <f>SUM(N85:O85)</f>
        <v>12.25920391</v>
      </c>
      <c r="N85" s="5">
        <v>12.25920391</v>
      </c>
      <c r="O85" s="5">
        <v>0</v>
      </c>
      <c r="P85" s="5">
        <v>56.831855770000004</v>
      </c>
      <c r="Q85" s="5"/>
      <c r="R85">
        <v>60</v>
      </c>
      <c r="S85" s="7">
        <v>0.63400000000000001</v>
      </c>
    </row>
    <row r="86" spans="1:19" x14ac:dyDescent="0.25">
      <c r="A86" s="2" t="s">
        <v>130</v>
      </c>
      <c r="B86" s="4" t="s">
        <v>129</v>
      </c>
      <c r="C86" s="5">
        <v>11933.377378828136</v>
      </c>
      <c r="D86" s="5">
        <v>23301.272863937702</v>
      </c>
      <c r="E86" s="5">
        <v>43.844999999999999</v>
      </c>
      <c r="F86" s="5">
        <v>96.487197089999995</v>
      </c>
      <c r="G86" s="5">
        <v>4.2</v>
      </c>
      <c r="H86" s="5">
        <v>77.27560975609758</v>
      </c>
      <c r="I86" s="5">
        <v>6.7870287900000026</v>
      </c>
      <c r="J86" s="5">
        <v>1553.3397216799999</v>
      </c>
      <c r="K86" s="5">
        <v>82.630592349999986</v>
      </c>
      <c r="L86" s="5">
        <v>2.8715722599999998</v>
      </c>
      <c r="M86" s="5">
        <f>SUM(N86:O86)</f>
        <v>79.759017940000007</v>
      </c>
      <c r="N86" s="5">
        <v>79.759017940000007</v>
      </c>
      <c r="O86" s="5">
        <v>0</v>
      </c>
      <c r="P86" s="5">
        <v>17.366621019999997</v>
      </c>
      <c r="Q86" s="5"/>
      <c r="R86">
        <v>71</v>
      </c>
      <c r="S86" s="7">
        <v>0.85099999999999998</v>
      </c>
    </row>
    <row r="87" spans="1:19" x14ac:dyDescent="0.25">
      <c r="A87" s="2" t="s">
        <v>132</v>
      </c>
      <c r="B87" s="4" t="s">
        <v>131</v>
      </c>
      <c r="C87" s="5">
        <v>1386.8541907884628</v>
      </c>
      <c r="D87" s="5">
        <v>2898.6246609269019</v>
      </c>
      <c r="E87" s="5">
        <v>47.573</v>
      </c>
      <c r="F87" s="5">
        <v>32.501727979999998</v>
      </c>
      <c r="G87" s="5">
        <v>52.8</v>
      </c>
      <c r="H87" s="5">
        <v>62.484999999999999</v>
      </c>
      <c r="I87" s="5">
        <v>5.0669012099999993</v>
      </c>
      <c r="J87" s="5">
        <v>147.11042786000002</v>
      </c>
      <c r="K87" s="5">
        <v>13.639595030000001</v>
      </c>
      <c r="L87" s="5">
        <v>12.076042179999998</v>
      </c>
      <c r="M87" s="5">
        <f>SUM(N87:O87)</f>
        <v>1.5635526199999998</v>
      </c>
      <c r="N87" s="5">
        <v>1.5635526199999998</v>
      </c>
      <c r="O87" s="5">
        <v>0</v>
      </c>
      <c r="P87" s="5">
        <v>86.360404970000005</v>
      </c>
      <c r="Q87" s="5"/>
      <c r="R87">
        <v>44</v>
      </c>
      <c r="S87" s="7">
        <v>0.51</v>
      </c>
    </row>
    <row r="88" spans="1:19" x14ac:dyDescent="0.25">
      <c r="A88" s="2" t="s">
        <v>134</v>
      </c>
      <c r="B88" s="4" t="s">
        <v>133</v>
      </c>
      <c r="C88" s="5">
        <v>12720.712022066813</v>
      </c>
      <c r="D88" s="5">
        <v>26806.595245225708</v>
      </c>
      <c r="E88" s="5">
        <v>29.5</v>
      </c>
      <c r="F88" s="5">
        <v>97.995457209999998</v>
      </c>
      <c r="G88" s="5">
        <v>4.2</v>
      </c>
      <c r="H88" s="5">
        <v>75.568292682926852</v>
      </c>
      <c r="I88" s="5">
        <v>6.8594956399999987</v>
      </c>
      <c r="J88" s="5">
        <v>1834.4617919900004</v>
      </c>
      <c r="K88" s="5">
        <v>68.166870119999999</v>
      </c>
      <c r="L88" s="5">
        <v>11.433223720000001</v>
      </c>
      <c r="M88" s="5">
        <f>SUM(N88:O88)</f>
        <v>56.733650209999993</v>
      </c>
      <c r="N88" s="5">
        <v>56.733650209999993</v>
      </c>
      <c r="O88" s="5">
        <v>0</v>
      </c>
      <c r="P88" s="5">
        <v>31.833129880000008</v>
      </c>
      <c r="Q88" s="5">
        <v>0</v>
      </c>
      <c r="R88">
        <v>70</v>
      </c>
      <c r="S88" s="7">
        <v>0.85399999999999998</v>
      </c>
    </row>
    <row r="89" spans="1:19" x14ac:dyDescent="0.25">
      <c r="A89" s="2" t="s">
        <v>136</v>
      </c>
      <c r="B89" s="4" t="s">
        <v>135</v>
      </c>
      <c r="C89" s="5">
        <v>3331.6951146918896</v>
      </c>
      <c r="D89" s="5">
        <v>10247.206338153066</v>
      </c>
      <c r="E89" s="5">
        <v>46.686999999999998</v>
      </c>
      <c r="F89" s="5">
        <v>73.600860850000004</v>
      </c>
      <c r="G89" s="5">
        <v>23.2</v>
      </c>
      <c r="H89" s="5">
        <v>70.768000000000001</v>
      </c>
      <c r="I89" s="5">
        <v>2.9242851700000001</v>
      </c>
      <c r="J89" s="5">
        <v>299.65753174000002</v>
      </c>
      <c r="K89" s="5">
        <f>L89+M89</f>
        <v>99.999998079999983</v>
      </c>
      <c r="L89" s="5">
        <v>21.02732658</v>
      </c>
      <c r="M89" s="5">
        <f>SUM(N89:O89)</f>
        <v>78.97267149999999</v>
      </c>
      <c r="N89" s="5">
        <v>18.603580469999997</v>
      </c>
      <c r="O89" s="5">
        <v>60.369091029999993</v>
      </c>
      <c r="P89" s="5">
        <v>0</v>
      </c>
      <c r="Q89" s="5"/>
      <c r="R89">
        <v>51</v>
      </c>
      <c r="S89" s="7">
        <v>0.71799999999999997</v>
      </c>
    </row>
    <row r="90" spans="1:19" x14ac:dyDescent="0.25">
      <c r="A90" s="2" t="s">
        <v>376</v>
      </c>
      <c r="B90" s="4" t="s">
        <v>377</v>
      </c>
      <c r="C90" s="5">
        <v>85126.97046942926</v>
      </c>
      <c r="D90" s="5"/>
      <c r="E90" s="5">
        <v>47.755000000000003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S90" s="3"/>
    </row>
    <row r="91" spans="1:19" x14ac:dyDescent="0.25">
      <c r="A91" s="2" t="s">
        <v>138</v>
      </c>
      <c r="B91" s="4" t="s">
        <v>137</v>
      </c>
      <c r="C91" s="5">
        <v>1605.6054445708705</v>
      </c>
      <c r="D91" s="5">
        <v>5464.8591780094102</v>
      </c>
      <c r="E91" s="5">
        <v>67.222999999999999</v>
      </c>
      <c r="F91" s="5">
        <v>56.693399839999998</v>
      </c>
      <c r="G91" s="5">
        <v>34.9</v>
      </c>
      <c r="H91" s="5">
        <v>68.606999999999999</v>
      </c>
      <c r="I91" s="5">
        <v>3.5956599700000007</v>
      </c>
      <c r="J91" s="5">
        <v>196.49771118000001</v>
      </c>
      <c r="K91" s="5">
        <v>25.795455929999996</v>
      </c>
      <c r="L91" s="5">
        <v>21.594020839999999</v>
      </c>
      <c r="M91" s="5">
        <f t="shared" ref="M91:M111" si="6">SUM(N91:O91)</f>
        <v>3.1788659099999999</v>
      </c>
      <c r="N91" s="5">
        <v>3.1788659099999999</v>
      </c>
      <c r="O91" s="5">
        <v>0</v>
      </c>
      <c r="P91" s="5">
        <v>74.204536439999998</v>
      </c>
      <c r="Q91" s="5"/>
      <c r="R91">
        <v>55</v>
      </c>
      <c r="S91" s="7">
        <v>0.64500000000000002</v>
      </c>
    </row>
    <row r="92" spans="1:19" x14ac:dyDescent="0.25">
      <c r="A92" s="2" t="s">
        <v>140</v>
      </c>
      <c r="B92" s="4" t="s">
        <v>139</v>
      </c>
      <c r="C92" s="5">
        <v>62012.484925814926</v>
      </c>
      <c r="D92" s="5">
        <v>69028.772718983586</v>
      </c>
      <c r="E92" s="5">
        <v>37.462000000000003</v>
      </c>
      <c r="F92" s="5">
        <v>91.061666599999995</v>
      </c>
      <c r="G92" s="5">
        <v>3.2</v>
      </c>
      <c r="H92" s="5">
        <v>81.45365853658538</v>
      </c>
      <c r="I92" s="5">
        <v>7.3160500499999994</v>
      </c>
      <c r="J92" s="5">
        <v>5077.4765625</v>
      </c>
      <c r="K92" s="5">
        <v>72.008964539999994</v>
      </c>
      <c r="L92" s="5">
        <v>71.696441650000011</v>
      </c>
      <c r="M92" s="5">
        <f t="shared" si="6"/>
        <v>0.31252471000000004</v>
      </c>
      <c r="N92" s="5">
        <v>0.31252471000000004</v>
      </c>
      <c r="O92" s="5">
        <v>0</v>
      </c>
      <c r="P92" s="5">
        <v>27.991031650000004</v>
      </c>
      <c r="Q92" s="5">
        <v>0</v>
      </c>
      <c r="R92">
        <v>82</v>
      </c>
      <c r="S92" s="7">
        <v>0.95499999999999996</v>
      </c>
    </row>
    <row r="93" spans="1:19" x14ac:dyDescent="0.25">
      <c r="A93" s="2" t="s">
        <v>378</v>
      </c>
      <c r="B93" s="4" t="s">
        <v>141</v>
      </c>
      <c r="C93" s="5">
        <v>4904.3273148516864</v>
      </c>
      <c r="D93" s="5">
        <v>13588.468813080546</v>
      </c>
      <c r="E93" s="5">
        <v>26.641999999999996</v>
      </c>
      <c r="F93" s="5">
        <v>88.431431489999994</v>
      </c>
      <c r="G93" s="5">
        <v>13.3</v>
      </c>
      <c r="H93" s="5">
        <v>75.796000000000006</v>
      </c>
      <c r="I93" s="5">
        <v>7.5380234700000006</v>
      </c>
      <c r="J93" s="5">
        <v>1024.3018798799999</v>
      </c>
      <c r="K93" s="5">
        <v>51.893730160000004</v>
      </c>
      <c r="L93" s="5">
        <v>25.733644489999996</v>
      </c>
      <c r="M93" s="5">
        <f t="shared" si="6"/>
        <v>26.160085680000002</v>
      </c>
      <c r="N93" s="5">
        <v>26.160085680000002</v>
      </c>
      <c r="O93" s="5">
        <v>0</v>
      </c>
      <c r="P93" s="5">
        <v>48.102703089999991</v>
      </c>
      <c r="Q93" s="5">
        <v>3.5665599999999999E-3</v>
      </c>
      <c r="R93">
        <v>69</v>
      </c>
      <c r="S93" s="7">
        <v>0.78300000000000003</v>
      </c>
    </row>
    <row r="94" spans="1:19" x14ac:dyDescent="0.25">
      <c r="A94" s="2" t="s">
        <v>143</v>
      </c>
      <c r="B94" s="4" t="s">
        <v>142</v>
      </c>
      <c r="C94" s="5">
        <v>4688.3180174346599</v>
      </c>
      <c r="D94" s="5">
        <v>9763.9040903101559</v>
      </c>
      <c r="E94" s="5">
        <v>30.078999999999994</v>
      </c>
      <c r="F94" s="5">
        <v>92.928284469999994</v>
      </c>
      <c r="G94" s="5">
        <v>24.8</v>
      </c>
      <c r="H94" s="5">
        <v>69.929000000000002</v>
      </c>
      <c r="I94" s="5">
        <v>3.14434433</v>
      </c>
      <c r="J94" s="5">
        <v>326.62966919000002</v>
      </c>
      <c r="K94" s="5">
        <v>23.293216710000003</v>
      </c>
      <c r="L94" s="5">
        <v>23.29251099</v>
      </c>
      <c r="M94" s="5">
        <f t="shared" si="6"/>
        <v>7.0632000000000008E-4</v>
      </c>
      <c r="N94" s="5">
        <v>7.0632000000000008E-4</v>
      </c>
      <c r="O94" s="5">
        <v>0</v>
      </c>
      <c r="P94" s="5">
        <v>76.706787110000008</v>
      </c>
      <c r="Q94" s="5"/>
      <c r="R94">
        <v>49</v>
      </c>
      <c r="S94" s="7">
        <v>0.67400000000000004</v>
      </c>
    </row>
    <row r="95" spans="1:19" x14ac:dyDescent="0.25">
      <c r="A95" s="2" t="s">
        <v>145</v>
      </c>
      <c r="B95" s="4" t="s">
        <v>144</v>
      </c>
      <c r="C95" s="5">
        <v>52951.681511089751</v>
      </c>
      <c r="D95" s="5">
        <v>49201.064096455295</v>
      </c>
      <c r="E95" s="5">
        <v>6.3</v>
      </c>
      <c r="F95" s="5">
        <v>98.783119200000002</v>
      </c>
      <c r="G95" s="5">
        <v>1.8</v>
      </c>
      <c r="H95" s="5">
        <v>82.468292682926844</v>
      </c>
      <c r="I95" s="5">
        <v>8.0697898899999991</v>
      </c>
      <c r="J95" s="5">
        <v>3977.2995605499991</v>
      </c>
      <c r="K95" s="5">
        <v>80.809875489999996</v>
      </c>
      <c r="L95" s="5">
        <v>80.809875489999996</v>
      </c>
      <c r="M95" s="5">
        <f t="shared" si="6"/>
        <v>0</v>
      </c>
      <c r="N95" s="5"/>
      <c r="O95" s="5"/>
      <c r="P95" s="5">
        <v>19.19012451</v>
      </c>
      <c r="Q95" s="5">
        <v>0</v>
      </c>
      <c r="R95">
        <v>85</v>
      </c>
      <c r="S95" s="7">
        <v>0.94899999999999995</v>
      </c>
    </row>
    <row r="96" spans="1:19" x14ac:dyDescent="0.25">
      <c r="A96" s="2" t="s">
        <v>147</v>
      </c>
      <c r="B96" s="4" t="s">
        <v>146</v>
      </c>
      <c r="C96" s="5">
        <v>35808.436428972716</v>
      </c>
      <c r="D96" s="5">
        <v>35469.950196978454</v>
      </c>
      <c r="E96" s="5">
        <v>7.820999999999998</v>
      </c>
      <c r="F96" s="5">
        <v>99.973116840000003</v>
      </c>
      <c r="G96" s="5">
        <v>3.2</v>
      </c>
      <c r="H96" s="5">
        <v>82.051219512195118</v>
      </c>
      <c r="I96" s="5">
        <v>7.0991978600000012</v>
      </c>
      <c r="J96" s="5">
        <v>2645.2233886700001</v>
      </c>
      <c r="K96" s="5">
        <v>63.416816709999999</v>
      </c>
      <c r="L96" s="5">
        <v>16.807544710000002</v>
      </c>
      <c r="M96" s="5">
        <f t="shared" si="6"/>
        <v>46.609268190000002</v>
      </c>
      <c r="N96" s="5">
        <v>46.609268190000002</v>
      </c>
      <c r="O96" s="5"/>
      <c r="P96" s="5">
        <v>35.178833010000005</v>
      </c>
      <c r="Q96" s="5">
        <v>1.4043519499999999</v>
      </c>
      <c r="R96">
        <v>83</v>
      </c>
      <c r="S96" s="7">
        <v>0.91900000000000004</v>
      </c>
    </row>
    <row r="97" spans="1:19" x14ac:dyDescent="0.25">
      <c r="A97" s="2" t="s">
        <v>149</v>
      </c>
      <c r="B97" s="4" t="s">
        <v>148</v>
      </c>
      <c r="C97" s="5">
        <v>30242.386135218429</v>
      </c>
      <c r="D97" s="5">
        <v>36899.385209246349</v>
      </c>
      <c r="E97" s="5">
        <v>30.434999999999999</v>
      </c>
      <c r="F97" s="5">
        <v>99.885460899999998</v>
      </c>
      <c r="G97" s="5">
        <v>3</v>
      </c>
      <c r="H97" s="5">
        <v>82.543902439024393</v>
      </c>
      <c r="I97" s="5">
        <v>8.8568916299999998</v>
      </c>
      <c r="J97" s="5">
        <v>3264.6428222700001</v>
      </c>
      <c r="K97" s="5">
        <v>74.435417179999988</v>
      </c>
      <c r="L97" s="5">
        <v>74.201469420000009</v>
      </c>
      <c r="M97" s="5">
        <f t="shared" si="6"/>
        <v>0.23394922999999998</v>
      </c>
      <c r="N97" s="5">
        <v>0.23394922999999998</v>
      </c>
      <c r="O97" s="5">
        <v>0</v>
      </c>
      <c r="P97" s="5">
        <v>25.564580919999997</v>
      </c>
      <c r="Q97" s="5">
        <v>0</v>
      </c>
      <c r="R97">
        <v>81</v>
      </c>
      <c r="S97" s="7">
        <v>0.89200000000000002</v>
      </c>
    </row>
    <row r="98" spans="1:19" x14ac:dyDescent="0.25">
      <c r="A98" s="2" t="s">
        <v>151</v>
      </c>
      <c r="B98" s="4" t="s">
        <v>150</v>
      </c>
      <c r="C98" s="5">
        <v>4907.9274151890031</v>
      </c>
      <c r="D98" s="5">
        <v>8792.0569569468589</v>
      </c>
      <c r="E98" s="5">
        <v>45.167000000000002</v>
      </c>
      <c r="F98" s="5">
        <v>85.849548339999998</v>
      </c>
      <c r="G98" s="5">
        <v>13.4</v>
      </c>
      <c r="H98" s="5">
        <v>74.097999999999999</v>
      </c>
      <c r="I98" s="5">
        <v>5.6246938699999998</v>
      </c>
      <c r="J98" s="5">
        <v>494.52767943999987</v>
      </c>
      <c r="K98" s="5">
        <v>64.378128050000001</v>
      </c>
      <c r="L98" s="5">
        <v>57.595764160000002</v>
      </c>
      <c r="M98" s="5">
        <f t="shared" si="6"/>
        <v>6.78235674</v>
      </c>
      <c r="N98" s="5">
        <v>6.78235674</v>
      </c>
      <c r="O98" s="5">
        <v>0</v>
      </c>
      <c r="P98" s="5">
        <v>35.621879579999998</v>
      </c>
      <c r="Q98" s="5"/>
      <c r="R98">
        <v>68</v>
      </c>
      <c r="S98" s="7">
        <v>0.73399999999999999</v>
      </c>
    </row>
    <row r="99" spans="1:19" x14ac:dyDescent="0.25">
      <c r="A99" s="2" t="s">
        <v>153</v>
      </c>
      <c r="B99" s="4" t="s">
        <v>152</v>
      </c>
      <c r="C99" s="5">
        <v>4164.1087689401402</v>
      </c>
      <c r="D99" s="5">
        <v>9464.6822421637389</v>
      </c>
      <c r="E99" s="5">
        <v>9.7439999999999998</v>
      </c>
      <c r="F99" s="5">
        <v>97.474186790000005</v>
      </c>
      <c r="G99" s="5">
        <v>15</v>
      </c>
      <c r="H99" s="5">
        <v>74.078000000000003</v>
      </c>
      <c r="I99" s="5">
        <v>7.4609561000000015</v>
      </c>
      <c r="J99" s="5">
        <v>706.16119385000002</v>
      </c>
      <c r="K99" s="5">
        <v>53.489677429999993</v>
      </c>
      <c r="L99" s="5">
        <v>49.241031650000004</v>
      </c>
      <c r="M99" s="5">
        <f t="shared" si="6"/>
        <v>4.2342147799999994</v>
      </c>
      <c r="N99" s="5">
        <v>4.2342147799999994</v>
      </c>
      <c r="O99" s="5">
        <v>0</v>
      </c>
      <c r="P99" s="5">
        <v>46.405357359999996</v>
      </c>
      <c r="Q99" s="5"/>
      <c r="R99">
        <v>60</v>
      </c>
      <c r="S99" s="7">
        <v>0.72899999999999998</v>
      </c>
    </row>
    <row r="100" spans="1:19" x14ac:dyDescent="0.25">
      <c r="A100" s="2" t="s">
        <v>155</v>
      </c>
      <c r="B100" s="4" t="s">
        <v>154</v>
      </c>
      <c r="C100" s="5">
        <v>34960.639384338487</v>
      </c>
      <c r="D100" s="5">
        <v>40898.806973960003</v>
      </c>
      <c r="E100" s="5">
        <v>8.6189999999999998</v>
      </c>
      <c r="F100" s="5">
        <v>99.942823619999999</v>
      </c>
      <c r="G100" s="5">
        <v>2</v>
      </c>
      <c r="H100" s="5">
        <v>83.793902439024393</v>
      </c>
      <c r="I100" s="5">
        <v>10.749699590000001</v>
      </c>
      <c r="J100" s="5">
        <v>4367.5014648400002</v>
      </c>
      <c r="K100" s="5">
        <v>84.082984920000001</v>
      </c>
      <c r="L100" s="5">
        <v>8.4095001200000006</v>
      </c>
      <c r="M100" s="5">
        <f t="shared" si="6"/>
        <v>75.673484800000011</v>
      </c>
      <c r="N100" s="5">
        <v>75.673484800000011</v>
      </c>
      <c r="O100" s="6">
        <v>0</v>
      </c>
      <c r="P100" s="5">
        <v>15.917015080000002</v>
      </c>
      <c r="Q100" s="5"/>
      <c r="R100">
        <v>83</v>
      </c>
      <c r="S100" s="7">
        <v>0.91900000000000004</v>
      </c>
    </row>
    <row r="101" spans="1:19" x14ac:dyDescent="0.25">
      <c r="A101" s="2" t="s">
        <v>157</v>
      </c>
      <c r="B101" s="4" t="s">
        <v>156</v>
      </c>
      <c r="C101" s="5">
        <v>10510.771888414851</v>
      </c>
      <c r="D101" s="5">
        <v>23224.117835357349</v>
      </c>
      <c r="E101" s="5">
        <v>42.808999999999997</v>
      </c>
      <c r="F101" s="5">
        <v>97.737824399999994</v>
      </c>
      <c r="G101" s="5">
        <v>10.6</v>
      </c>
      <c r="H101" s="5">
        <v>71.97</v>
      </c>
      <c r="I101" s="5">
        <v>3.0405113699999999</v>
      </c>
      <c r="J101" s="5">
        <v>704.95806885000002</v>
      </c>
      <c r="K101" s="5">
        <v>63.172721860000003</v>
      </c>
      <c r="L101" s="5">
        <v>63.172721860000003</v>
      </c>
      <c r="M101" s="5">
        <f t="shared" si="6"/>
        <v>0</v>
      </c>
      <c r="N101" s="5"/>
      <c r="O101" s="5"/>
      <c r="P101" s="5">
        <v>36.772895810000001</v>
      </c>
      <c r="Q101" s="5">
        <v>5.4380530000000003E-2</v>
      </c>
      <c r="R101">
        <v>71</v>
      </c>
      <c r="S101" s="7">
        <v>0.82499999999999996</v>
      </c>
    </row>
    <row r="102" spans="1:19" x14ac:dyDescent="0.25">
      <c r="A102" s="2" t="s">
        <v>159</v>
      </c>
      <c r="B102" s="4" t="s">
        <v>158</v>
      </c>
      <c r="C102" s="5">
        <v>1464.5540090432919</v>
      </c>
      <c r="D102" s="5">
        <v>3683.0419106991085</v>
      </c>
      <c r="E102" s="5">
        <v>74.341999999999999</v>
      </c>
      <c r="F102" s="5">
        <v>32.302351029999997</v>
      </c>
      <c r="G102" s="5">
        <v>35.200000000000003</v>
      </c>
      <c r="H102" s="5">
        <v>64.798000000000002</v>
      </c>
      <c r="I102" s="5">
        <v>5.2193856200000006</v>
      </c>
      <c r="J102" s="5">
        <v>175.47471619000001</v>
      </c>
      <c r="K102" s="5">
        <v>46.366535189999993</v>
      </c>
      <c r="L102" s="5">
        <v>39.373882289999997</v>
      </c>
      <c r="M102" s="5">
        <f t="shared" si="6"/>
        <v>6.9926552799999993</v>
      </c>
      <c r="N102" s="5">
        <v>6.9926552799999993</v>
      </c>
      <c r="O102" s="5">
        <v>0</v>
      </c>
      <c r="P102" s="5">
        <v>53.633464810000007</v>
      </c>
      <c r="Q102" s="5"/>
      <c r="R102">
        <v>52</v>
      </c>
      <c r="S102" s="7">
        <v>0.60099999999999998</v>
      </c>
    </row>
    <row r="103" spans="1:19" x14ac:dyDescent="0.25">
      <c r="A103" s="2" t="s">
        <v>161</v>
      </c>
      <c r="B103" s="4" t="s">
        <v>160</v>
      </c>
      <c r="C103" s="5">
        <v>1121.0828351073897</v>
      </c>
      <c r="D103" s="5">
        <v>4214.8295088618625</v>
      </c>
      <c r="E103" s="5">
        <v>64.222999999999999</v>
      </c>
      <c r="F103" s="5">
        <v>97.12802336</v>
      </c>
      <c r="G103" s="5">
        <v>19.899999999999999</v>
      </c>
      <c r="H103" s="5">
        <v>70.651219512195127</v>
      </c>
      <c r="I103" s="5">
        <v>7.1493091599999996</v>
      </c>
      <c r="J103" s="5">
        <v>301.21862793000003</v>
      </c>
      <c r="K103" s="5">
        <v>42.524303439999997</v>
      </c>
      <c r="L103" s="5">
        <v>37.101383210000002</v>
      </c>
      <c r="M103" s="5">
        <f t="shared" si="6"/>
        <v>5.4229149799999998</v>
      </c>
      <c r="N103" s="5">
        <v>5.4229149799999998</v>
      </c>
      <c r="O103" s="5">
        <v>0</v>
      </c>
      <c r="P103" s="5">
        <v>57.475696559999996</v>
      </c>
      <c r="Q103" s="5"/>
      <c r="R103">
        <v>69</v>
      </c>
      <c r="S103" s="7">
        <v>0.69699999999999995</v>
      </c>
    </row>
    <row r="104" spans="1:19" x14ac:dyDescent="0.25">
      <c r="A104" s="2" t="s">
        <v>163</v>
      </c>
      <c r="B104" s="4" t="s">
        <v>162</v>
      </c>
      <c r="C104" s="5">
        <v>1162.9049948940224</v>
      </c>
      <c r="D104" s="5">
        <v>3388.7376383037995</v>
      </c>
      <c r="E104" s="5">
        <v>77.811999999999998</v>
      </c>
      <c r="F104" s="5">
        <v>53.106573570000002</v>
      </c>
      <c r="G104" s="5">
        <v>27.3</v>
      </c>
      <c r="H104" s="5">
        <v>68.637</v>
      </c>
      <c r="I104" s="5">
        <v>6.1943159100000003</v>
      </c>
      <c r="J104" s="5">
        <v>209.90908812999996</v>
      </c>
      <c r="K104" s="5">
        <v>26.811161039999995</v>
      </c>
      <c r="L104" s="5">
        <v>26.69391632</v>
      </c>
      <c r="M104" s="5">
        <f t="shared" si="6"/>
        <v>0.11724543999999999</v>
      </c>
      <c r="N104" s="5">
        <v>0.11724543999999999</v>
      </c>
      <c r="O104" s="5">
        <v>0</v>
      </c>
      <c r="P104" s="5">
        <v>71.323455809999999</v>
      </c>
      <c r="Q104" s="5">
        <v>1.8653806400000001</v>
      </c>
      <c r="R104">
        <v>58</v>
      </c>
      <c r="S104" s="7">
        <v>0.59399999999999997</v>
      </c>
    </row>
    <row r="105" spans="1:19" x14ac:dyDescent="0.25">
      <c r="A105" s="2" t="s">
        <v>165</v>
      </c>
      <c r="B105" s="4" t="s">
        <v>164</v>
      </c>
      <c r="C105" s="5">
        <v>1542.6164654784636</v>
      </c>
      <c r="D105" s="5">
        <v>2106.8667996426457</v>
      </c>
      <c r="E105" s="5">
        <v>48.381</v>
      </c>
      <c r="F105" s="5">
        <v>43.44083363</v>
      </c>
      <c r="G105" s="5">
        <v>44.7</v>
      </c>
      <c r="H105" s="5">
        <v>67.290999999999997</v>
      </c>
      <c r="I105" s="5">
        <v>7.9881854099999998</v>
      </c>
      <c r="J105" s="5">
        <v>168.61041259999996</v>
      </c>
      <c r="K105" s="5">
        <v>85.213562010000018</v>
      </c>
      <c r="L105" s="5">
        <v>85.213562010000018</v>
      </c>
      <c r="M105" s="5">
        <f t="shared" si="6"/>
        <v>0</v>
      </c>
      <c r="N105" s="5"/>
      <c r="O105" s="5"/>
      <c r="P105" s="5">
        <v>4.0688495599999994</v>
      </c>
      <c r="Q105" s="5">
        <v>10.717582699999999</v>
      </c>
      <c r="R105">
        <v>48</v>
      </c>
      <c r="S105" s="7">
        <v>0.63</v>
      </c>
    </row>
    <row r="106" spans="1:19" x14ac:dyDescent="0.25">
      <c r="A106" s="2" t="s">
        <v>379</v>
      </c>
      <c r="B106" s="4" t="s">
        <v>380</v>
      </c>
      <c r="C106" s="5">
        <v>18028.973430895156</v>
      </c>
      <c r="D106" s="5">
        <v>23921.524434629384</v>
      </c>
      <c r="E106" s="5">
        <v>69.173000000000002</v>
      </c>
      <c r="F106" s="5">
        <v>94.953594519999996</v>
      </c>
      <c r="G106" s="5">
        <v>14.1</v>
      </c>
      <c r="H106" s="5">
        <v>75.519990000000007</v>
      </c>
      <c r="I106" s="5">
        <v>5.3130130799999993</v>
      </c>
      <c r="J106" s="5">
        <v>1271.2232666</v>
      </c>
      <c r="K106" s="5">
        <v>37.834316249999993</v>
      </c>
      <c r="L106" s="5">
        <v>37.785881039999992</v>
      </c>
      <c r="M106" s="5">
        <f t="shared" si="6"/>
        <v>4.8434390000000001E-2</v>
      </c>
      <c r="N106" s="5">
        <v>4.8434390000000001E-2</v>
      </c>
      <c r="O106" s="5">
        <v>0</v>
      </c>
      <c r="P106" s="5">
        <v>62.165683750000007</v>
      </c>
      <c r="Q106" s="5"/>
      <c r="R106">
        <v>70</v>
      </c>
      <c r="S106" s="7">
        <v>0.77900000000000003</v>
      </c>
    </row>
    <row r="107" spans="1:19" x14ac:dyDescent="0.25">
      <c r="A107" s="2" t="s">
        <v>381</v>
      </c>
      <c r="B107" s="4" t="s">
        <v>166</v>
      </c>
      <c r="C107" s="5">
        <v>28732.231076259857</v>
      </c>
      <c r="D107" s="5">
        <v>37902.400403757805</v>
      </c>
      <c r="E107" s="5">
        <v>18.366</v>
      </c>
      <c r="F107" s="5">
        <v>99.96133845</v>
      </c>
      <c r="G107" s="5">
        <v>3</v>
      </c>
      <c r="H107" s="5">
        <v>82.024390243902445</v>
      </c>
      <c r="I107" s="5">
        <v>6.6527166400000013</v>
      </c>
      <c r="J107" s="5">
        <v>2531.0581054700006</v>
      </c>
      <c r="K107" s="5">
        <v>58.902072910000001</v>
      </c>
      <c r="L107" s="5">
        <v>10.649271970000003</v>
      </c>
      <c r="M107" s="5">
        <f t="shared" si="6"/>
        <v>48.252799149999994</v>
      </c>
      <c r="N107" s="5">
        <v>46.706291199999995</v>
      </c>
      <c r="O107" s="5">
        <v>1.5465079499999996</v>
      </c>
      <c r="P107" s="5">
        <v>41.097927089999999</v>
      </c>
      <c r="Q107" s="5"/>
      <c r="R107">
        <v>85</v>
      </c>
      <c r="S107" s="7">
        <v>0.91600000000000004</v>
      </c>
    </row>
    <row r="108" spans="1:19" x14ac:dyDescent="0.25">
      <c r="A108" s="2" t="s">
        <v>168</v>
      </c>
      <c r="B108" s="4" t="s">
        <v>167</v>
      </c>
      <c r="C108" s="5">
        <v>29869.55275323704</v>
      </c>
      <c r="D108" s="5">
        <v>47230.660132903162</v>
      </c>
      <c r="E108" s="5">
        <v>0</v>
      </c>
      <c r="F108" s="5">
        <v>100</v>
      </c>
      <c r="G108" s="5">
        <v>7.5</v>
      </c>
      <c r="H108" s="5">
        <v>75.13</v>
      </c>
      <c r="I108" s="5">
        <v>4.2149796500000001</v>
      </c>
      <c r="J108" s="5">
        <v>1990.74401855</v>
      </c>
      <c r="K108" s="5">
        <v>84.859230039999986</v>
      </c>
      <c r="L108" s="5">
        <v>84.859230039999986</v>
      </c>
      <c r="M108" s="5">
        <f t="shared" si="6"/>
        <v>0</v>
      </c>
      <c r="N108" s="5"/>
      <c r="O108" s="5"/>
      <c r="P108" s="5">
        <v>15.140774729999999</v>
      </c>
      <c r="Q108" s="5">
        <v>0</v>
      </c>
      <c r="R108">
        <v>67</v>
      </c>
      <c r="S108" s="7">
        <v>0.80600000000000005</v>
      </c>
    </row>
    <row r="109" spans="1:19" x14ac:dyDescent="0.25">
      <c r="A109" s="2" t="s">
        <v>382</v>
      </c>
      <c r="B109" s="4" t="s">
        <v>169</v>
      </c>
      <c r="C109" s="5">
        <v>2140.0443228004438</v>
      </c>
      <c r="D109" s="5">
        <v>6168.4813024019277</v>
      </c>
      <c r="E109" s="5">
        <v>66.891999999999996</v>
      </c>
      <c r="F109" s="5">
        <v>69.566471199999995</v>
      </c>
      <c r="G109" s="5">
        <v>42.1</v>
      </c>
      <c r="H109" s="5">
        <v>66.546000000000006</v>
      </c>
      <c r="I109" s="5">
        <v>2.4536645400000006</v>
      </c>
      <c r="J109" s="5">
        <v>151.35321044999998</v>
      </c>
      <c r="K109" s="5">
        <v>51.166732790000005</v>
      </c>
      <c r="L109" s="5">
        <v>49.442447660000006</v>
      </c>
      <c r="M109" s="5">
        <f t="shared" si="6"/>
        <v>1.7242824999999999</v>
      </c>
      <c r="N109" s="5">
        <v>1.7242824999999999</v>
      </c>
      <c r="O109" s="6">
        <v>0</v>
      </c>
      <c r="P109" s="5">
        <v>48.833267209999995</v>
      </c>
      <c r="Q109" s="5">
        <v>0</v>
      </c>
      <c r="R109">
        <v>45</v>
      </c>
      <c r="S109" s="7">
        <v>0.61299999999999999</v>
      </c>
    </row>
    <row r="110" spans="1:19" x14ac:dyDescent="0.25">
      <c r="A110" s="2" t="s">
        <v>171</v>
      </c>
      <c r="B110" s="4" t="s">
        <v>170</v>
      </c>
      <c r="C110" s="5">
        <v>7663.9202321634893</v>
      </c>
      <c r="D110" s="5">
        <v>15105.956911637655</v>
      </c>
      <c r="E110" s="5">
        <v>11.894000000000005</v>
      </c>
      <c r="F110" s="5">
        <v>93.943047590000006</v>
      </c>
      <c r="G110" s="5">
        <v>7.1</v>
      </c>
      <c r="H110" s="5">
        <v>78.768000000000001</v>
      </c>
      <c r="I110" s="5">
        <v>7.4144287099999984</v>
      </c>
      <c r="J110" s="5">
        <v>1117.1894531299997</v>
      </c>
      <c r="K110" s="5">
        <v>43.711357119999988</v>
      </c>
      <c r="L110" s="5">
        <v>21.396347049999999</v>
      </c>
      <c r="M110" s="5">
        <f t="shared" si="6"/>
        <v>22.315011980000001</v>
      </c>
      <c r="N110" s="5">
        <v>22.315011980000001</v>
      </c>
      <c r="O110" s="5">
        <v>0</v>
      </c>
      <c r="P110" s="5">
        <v>56.288642879999998</v>
      </c>
      <c r="Q110" s="5"/>
      <c r="R110">
        <v>68</v>
      </c>
      <c r="S110" s="7">
        <v>0.74399999999999999</v>
      </c>
    </row>
    <row r="111" spans="1:19" x14ac:dyDescent="0.25">
      <c r="A111" s="2" t="s">
        <v>173</v>
      </c>
      <c r="B111" s="4" t="s">
        <v>172</v>
      </c>
      <c r="C111" s="5">
        <v>721.5810505231284</v>
      </c>
      <c r="D111" s="5">
        <v>1312.4627661300356</v>
      </c>
      <c r="E111" s="5">
        <v>50.18</v>
      </c>
      <c r="F111" s="5">
        <v>17.11000494</v>
      </c>
      <c r="G111" s="5">
        <v>64.400000000000006</v>
      </c>
      <c r="H111" s="5">
        <v>62.268999999999998</v>
      </c>
      <c r="I111" s="5">
        <v>10.637583730000001</v>
      </c>
      <c r="J111" s="5">
        <v>133.59741210999996</v>
      </c>
      <c r="K111" s="5">
        <v>26.967424390000001</v>
      </c>
      <c r="L111" s="5">
        <v>26.967424390000001</v>
      </c>
      <c r="M111" s="5">
        <f t="shared" si="6"/>
        <v>0</v>
      </c>
      <c r="N111" s="5"/>
      <c r="O111" s="5"/>
      <c r="P111" s="5">
        <v>73.032577509999996</v>
      </c>
      <c r="Q111" s="5"/>
      <c r="R111">
        <v>38</v>
      </c>
      <c r="S111" s="7">
        <v>0.48</v>
      </c>
    </row>
    <row r="112" spans="1:19" x14ac:dyDescent="0.25">
      <c r="A112" s="2" t="s">
        <v>175</v>
      </c>
      <c r="B112" s="4" t="s">
        <v>174</v>
      </c>
      <c r="C112" s="5">
        <v>4337.9191391934755</v>
      </c>
      <c r="D112" s="5">
        <v>12220.023401598417</v>
      </c>
      <c r="E112" s="5">
        <v>20.73</v>
      </c>
      <c r="F112" s="5">
        <v>92.02728759</v>
      </c>
      <c r="G112" s="5">
        <v>11.4</v>
      </c>
      <c r="H112" s="5">
        <v>72.120999999999995</v>
      </c>
      <c r="I112" s="5"/>
      <c r="J112" s="5"/>
      <c r="K112" s="5"/>
      <c r="L112" s="5"/>
      <c r="M112" s="5"/>
      <c r="N112" s="5"/>
      <c r="O112" s="5"/>
      <c r="P112" s="5"/>
      <c r="Q112" s="5"/>
      <c r="R112">
        <v>57</v>
      </c>
      <c r="S112" s="7">
        <v>0.72399999999999998</v>
      </c>
    </row>
    <row r="113" spans="1:19" x14ac:dyDescent="0.25">
      <c r="A113" s="2" t="s">
        <v>383</v>
      </c>
      <c r="B113" s="4" t="s">
        <v>176</v>
      </c>
      <c r="C113" s="5">
        <v>10093.618016361706</v>
      </c>
      <c r="D113" s="5">
        <v>13551.345228924225</v>
      </c>
      <c r="E113" s="5">
        <v>81.484999999999999</v>
      </c>
      <c r="F113" s="5">
        <v>82.913537579999996</v>
      </c>
      <c r="G113" s="5">
        <v>19.5</v>
      </c>
      <c r="H113" s="5">
        <v>75.596000000000004</v>
      </c>
      <c r="I113" s="5">
        <v>4.5808239000000004</v>
      </c>
      <c r="J113" s="5">
        <v>620.80395508000004</v>
      </c>
      <c r="K113" s="5">
        <v>44.322963710000003</v>
      </c>
      <c r="L113" s="5">
        <v>42.071540829999989</v>
      </c>
      <c r="M113" s="5">
        <f>SUM(N113:O113)</f>
        <v>2.2514252700000004</v>
      </c>
      <c r="N113" s="5">
        <v>2.2514252700000004</v>
      </c>
      <c r="O113" s="5">
        <v>0</v>
      </c>
      <c r="P113" s="5">
        <v>55.677032469999993</v>
      </c>
      <c r="Q113" s="5"/>
      <c r="R113">
        <v>71</v>
      </c>
      <c r="S113" s="7">
        <v>0.75900000000000001</v>
      </c>
    </row>
    <row r="114" spans="1:19" x14ac:dyDescent="0.25">
      <c r="A114" s="2" t="s">
        <v>178</v>
      </c>
      <c r="B114" s="4" t="s">
        <v>177</v>
      </c>
      <c r="C114" s="5">
        <v>167313.26628044862</v>
      </c>
      <c r="D114" s="5"/>
      <c r="E114" s="5">
        <v>85.697000000000003</v>
      </c>
      <c r="F114" s="5">
        <v>99.95</v>
      </c>
      <c r="G114" s="5"/>
      <c r="H114" s="5">
        <v>82.65609756097561</v>
      </c>
      <c r="I114" s="5"/>
      <c r="J114" s="5"/>
      <c r="K114" s="5"/>
      <c r="L114" s="5"/>
      <c r="M114" s="5"/>
      <c r="N114" s="5"/>
      <c r="O114" s="5"/>
      <c r="P114" s="5"/>
      <c r="Q114" s="5"/>
      <c r="S114" s="7">
        <v>0.91900000000000004</v>
      </c>
    </row>
    <row r="115" spans="1:19" x14ac:dyDescent="0.25">
      <c r="A115" s="2" t="s">
        <v>180</v>
      </c>
      <c r="B115" s="4" t="s">
        <v>179</v>
      </c>
      <c r="C115" s="5">
        <v>3843.780671844419</v>
      </c>
      <c r="D115" s="5">
        <v>11557.487051768907</v>
      </c>
      <c r="E115" s="5">
        <v>81.744</v>
      </c>
      <c r="F115" s="5">
        <v>90.733194909999995</v>
      </c>
      <c r="G115" s="5">
        <v>7.5</v>
      </c>
      <c r="H115" s="5">
        <v>76.316000000000003</v>
      </c>
      <c r="I115" s="5">
        <v>3.8899209500000005</v>
      </c>
      <c r="J115" s="5">
        <v>450.90963744999999</v>
      </c>
      <c r="K115" s="5">
        <v>45.322845459999996</v>
      </c>
      <c r="L115" s="5">
        <v>44.938545230000003</v>
      </c>
      <c r="M115" s="5">
        <f>SUM(N115:O115)</f>
        <v>0.38429898000000001</v>
      </c>
      <c r="N115" s="5">
        <v>0.38429898000000001</v>
      </c>
      <c r="O115" s="5">
        <v>0</v>
      </c>
      <c r="P115" s="5">
        <v>54.672409059999993</v>
      </c>
      <c r="Q115" s="5">
        <v>4.7458500000000002E-3</v>
      </c>
      <c r="R115">
        <v>60</v>
      </c>
      <c r="S115" s="7">
        <v>0.78200000000000003</v>
      </c>
    </row>
    <row r="116" spans="1:19" x14ac:dyDescent="0.25">
      <c r="A116" s="2" t="s">
        <v>182</v>
      </c>
      <c r="B116" s="4" t="s">
        <v>181</v>
      </c>
      <c r="C116" s="5">
        <v>1146.0646878730795</v>
      </c>
      <c r="D116" s="5">
        <v>3077.3978342709538</v>
      </c>
      <c r="E116" s="5">
        <v>73.091999999999999</v>
      </c>
      <c r="F116" s="5">
        <v>40.647307249999997</v>
      </c>
      <c r="G116" s="5">
        <v>72.599999999999994</v>
      </c>
      <c r="H116" s="5">
        <v>51.037999999999997</v>
      </c>
      <c r="I116" s="5">
        <v>8.9953937499999999</v>
      </c>
      <c r="J116" s="5">
        <v>279.68270874000001</v>
      </c>
      <c r="K116" s="5">
        <v>71.106742859999997</v>
      </c>
      <c r="L116" s="5">
        <v>71.106742859999997</v>
      </c>
      <c r="M116" s="5">
        <f>SUM(N116:O116)</f>
        <v>0</v>
      </c>
      <c r="N116" s="5"/>
      <c r="O116" s="5"/>
      <c r="P116" s="5">
        <v>28.893259050000005</v>
      </c>
      <c r="Q116" s="5"/>
      <c r="R116">
        <v>46</v>
      </c>
      <c r="S116" s="7">
        <v>0.52700000000000002</v>
      </c>
    </row>
    <row r="117" spans="1:19" x14ac:dyDescent="0.25">
      <c r="A117" s="2" t="s">
        <v>184</v>
      </c>
      <c r="B117" s="4" t="s">
        <v>183</v>
      </c>
      <c r="C117" s="5">
        <v>14263.964577349474</v>
      </c>
      <c r="D117" s="5">
        <v>28834.427680113477</v>
      </c>
      <c r="E117" s="5">
        <v>32.770000000000003</v>
      </c>
      <c r="F117" s="5">
        <v>92.267210899999995</v>
      </c>
      <c r="G117" s="5">
        <v>4</v>
      </c>
      <c r="H117" s="5">
        <v>74.321951219512215</v>
      </c>
      <c r="I117" s="5">
        <v>6.4904398900000002</v>
      </c>
      <c r="J117" s="5">
        <v>1861.0052490200003</v>
      </c>
      <c r="K117" s="5">
        <v>67.139320370000007</v>
      </c>
      <c r="L117" s="5">
        <v>9.9661293000000004</v>
      </c>
      <c r="M117" s="5">
        <f>SUM(N117:O117)</f>
        <v>57.172328950000008</v>
      </c>
      <c r="N117" s="5">
        <v>57.172328950000008</v>
      </c>
      <c r="O117" s="5">
        <v>0</v>
      </c>
      <c r="P117" s="5">
        <v>32.794258120000002</v>
      </c>
      <c r="Q117" s="5">
        <v>6.1883740000000007E-2</v>
      </c>
      <c r="R117">
        <v>65</v>
      </c>
      <c r="S117" s="7">
        <v>0.88200000000000001</v>
      </c>
    </row>
    <row r="118" spans="1:19" x14ac:dyDescent="0.25">
      <c r="A118" s="2" t="s">
        <v>186</v>
      </c>
      <c r="B118" s="4" t="s">
        <v>185</v>
      </c>
      <c r="C118" s="5">
        <v>105462.01258442263</v>
      </c>
      <c r="D118" s="5">
        <v>107859.68599930758</v>
      </c>
      <c r="E118" s="5">
        <v>9.820999999999998</v>
      </c>
      <c r="F118" s="5">
        <v>97.610737790000002</v>
      </c>
      <c r="G118" s="5">
        <v>2.2999999999999998</v>
      </c>
      <c r="H118" s="5">
        <v>82.292682926829272</v>
      </c>
      <c r="I118" s="5">
        <v>5.2837824799999984</v>
      </c>
      <c r="J118" s="5">
        <v>5545.1972656299986</v>
      </c>
      <c r="K118" s="5">
        <v>83.658920289999998</v>
      </c>
      <c r="L118" s="5">
        <v>4.5384006500000007</v>
      </c>
      <c r="M118" s="5">
        <f>SUM(N118:O118)</f>
        <v>79.120513919999993</v>
      </c>
      <c r="N118" s="5">
        <v>79.120513919999993</v>
      </c>
      <c r="O118" s="5">
        <v>0</v>
      </c>
      <c r="P118" s="5">
        <v>14.956639290000002</v>
      </c>
      <c r="Q118" s="5">
        <v>1.3844403000000001</v>
      </c>
      <c r="R118">
        <v>83</v>
      </c>
      <c r="S118" s="7">
        <v>0.91600000000000004</v>
      </c>
    </row>
    <row r="119" spans="1:19" x14ac:dyDescent="0.25">
      <c r="A119" s="2" t="s">
        <v>188</v>
      </c>
      <c r="B119" s="4" t="s">
        <v>187</v>
      </c>
      <c r="C119" s="5">
        <v>13786.456795311369</v>
      </c>
      <c r="D119" s="5">
        <v>24972.786086993226</v>
      </c>
      <c r="E119" s="5">
        <v>32.020000000000003</v>
      </c>
      <c r="F119" s="5">
        <v>91.519332019999993</v>
      </c>
      <c r="G119" s="5">
        <v>4.3</v>
      </c>
      <c r="H119" s="5">
        <v>74.480487804878052</v>
      </c>
      <c r="I119" s="5">
        <v>5.6546950299999992</v>
      </c>
      <c r="J119" s="5">
        <v>1405.3999023399999</v>
      </c>
      <c r="K119" s="5">
        <v>58.68190002</v>
      </c>
      <c r="L119" s="5">
        <v>58.68190002</v>
      </c>
      <c r="M119" s="5">
        <f>SUM(N119:O119)</f>
        <v>0</v>
      </c>
      <c r="N119" s="5"/>
      <c r="O119" s="5"/>
      <c r="P119" s="5">
        <v>41.329338069999991</v>
      </c>
      <c r="Q119" s="5"/>
      <c r="R119">
        <v>66</v>
      </c>
      <c r="S119" s="7">
        <v>0.86599999999999999</v>
      </c>
    </row>
    <row r="120" spans="1:19" x14ac:dyDescent="0.25">
      <c r="A120" s="2" t="s">
        <v>384</v>
      </c>
      <c r="B120" s="4" t="s">
        <v>189</v>
      </c>
      <c r="C120" s="5">
        <v>74818.948126372037</v>
      </c>
      <c r="D120" s="5">
        <v>116298.72955162034</v>
      </c>
      <c r="E120" s="5">
        <v>0</v>
      </c>
      <c r="F120" s="5">
        <v>100</v>
      </c>
      <c r="G120" s="5"/>
      <c r="H120" s="5">
        <v>83.706999999999994</v>
      </c>
      <c r="I120" s="5"/>
      <c r="J120" s="5"/>
      <c r="K120" s="5"/>
      <c r="L120" s="5"/>
      <c r="M120" s="5"/>
      <c r="N120" s="5"/>
      <c r="O120" s="5"/>
      <c r="P120" s="5"/>
      <c r="Q120" s="5"/>
      <c r="S120" s="3"/>
    </row>
    <row r="121" spans="1:19" x14ac:dyDescent="0.25">
      <c r="A121" s="2" t="s">
        <v>385</v>
      </c>
      <c r="B121" s="4" t="s">
        <v>386</v>
      </c>
      <c r="C121" s="5"/>
      <c r="D121" s="5"/>
      <c r="E121" s="5"/>
      <c r="F121" s="5">
        <v>99.814376809999999</v>
      </c>
      <c r="G121" s="5"/>
      <c r="H121" s="5">
        <v>79.321951219512215</v>
      </c>
      <c r="I121" s="5"/>
      <c r="J121" s="5"/>
      <c r="K121" s="5"/>
      <c r="L121" s="5"/>
      <c r="M121" s="5"/>
      <c r="N121" s="5"/>
      <c r="O121" s="5"/>
      <c r="P121" s="5"/>
      <c r="Q121" s="5"/>
      <c r="S121" s="3"/>
    </row>
    <row r="122" spans="1:19" x14ac:dyDescent="0.25">
      <c r="A122" s="2" t="s">
        <v>191</v>
      </c>
      <c r="B122" s="4" t="s">
        <v>190</v>
      </c>
      <c r="C122" s="5">
        <v>2875.2579851678101</v>
      </c>
      <c r="D122" s="5">
        <v>7024.9630890266299</v>
      </c>
      <c r="E122" s="5">
        <v>39.191000000000003</v>
      </c>
      <c r="F122" s="5">
        <v>82.613386270000007</v>
      </c>
      <c r="G122" s="5">
        <v>20.2</v>
      </c>
      <c r="H122" s="5">
        <v>75.725999999999999</v>
      </c>
      <c r="I122" s="5">
        <v>5.065489770000001</v>
      </c>
      <c r="J122" s="5">
        <v>361.25082396999994</v>
      </c>
      <c r="K122" s="5">
        <v>43.299926760000005</v>
      </c>
      <c r="L122" s="5">
        <v>25.767734530000002</v>
      </c>
      <c r="M122" s="5">
        <f t="shared" ref="M122:M134" si="7">SUM(N122:O122)</f>
        <v>17.532195090000002</v>
      </c>
      <c r="N122" s="5">
        <v>16.316677090000002</v>
      </c>
      <c r="O122" s="5">
        <v>1.2155179999999999</v>
      </c>
      <c r="P122" s="5">
        <v>56.700069429999985</v>
      </c>
      <c r="Q122" s="5">
        <v>0</v>
      </c>
      <c r="R122">
        <v>70</v>
      </c>
      <c r="S122" s="7">
        <v>0.68600000000000005</v>
      </c>
    </row>
    <row r="123" spans="1:19" x14ac:dyDescent="0.25">
      <c r="A123" s="2" t="s">
        <v>387</v>
      </c>
      <c r="B123" s="4" t="s">
        <v>388</v>
      </c>
      <c r="C123" s="5">
        <v>165989.50511383178</v>
      </c>
      <c r="D123" s="5">
        <v>115700</v>
      </c>
      <c r="E123" s="5">
        <v>0</v>
      </c>
      <c r="F123" s="5">
        <v>100</v>
      </c>
      <c r="G123" s="5">
        <v>2.9</v>
      </c>
      <c r="H123" s="5">
        <v>81.599900000000005</v>
      </c>
      <c r="I123" s="5">
        <v>2.0284676599999996</v>
      </c>
      <c r="J123" s="5">
        <v>3729.5642089800008</v>
      </c>
      <c r="K123" s="5">
        <v>80.881858829999999</v>
      </c>
      <c r="L123" s="5">
        <v>3.8515169600000001</v>
      </c>
      <c r="M123" s="5">
        <f t="shared" si="7"/>
        <v>77.03033447</v>
      </c>
      <c r="N123" s="5">
        <v>77.03033447</v>
      </c>
      <c r="O123" s="6">
        <v>0</v>
      </c>
      <c r="P123" s="5">
        <v>19.118143080000003</v>
      </c>
      <c r="Q123" s="5"/>
      <c r="R123">
        <v>83</v>
      </c>
      <c r="S123" s="3"/>
    </row>
    <row r="124" spans="1:19" x14ac:dyDescent="0.25">
      <c r="A124" s="2" t="s">
        <v>193</v>
      </c>
      <c r="B124" s="4" t="s">
        <v>192</v>
      </c>
      <c r="C124" s="5">
        <v>2732.4571129373285</v>
      </c>
      <c r="D124" s="5">
        <v>9254.8486051297623</v>
      </c>
      <c r="E124" s="5">
        <v>57.51</v>
      </c>
      <c r="F124" s="5">
        <v>75.990286510000004</v>
      </c>
      <c r="G124" s="5">
        <v>13.6</v>
      </c>
      <c r="H124" s="5">
        <v>71.477999999999994</v>
      </c>
      <c r="I124" s="5">
        <v>8.5576353099999984</v>
      </c>
      <c r="J124" s="5">
        <v>631.4604492200001</v>
      </c>
      <c r="K124" s="5">
        <v>49.130512239999995</v>
      </c>
      <c r="L124" s="5">
        <v>9.1231565500000009</v>
      </c>
      <c r="M124" s="5">
        <f t="shared" si="7"/>
        <v>40.007354739999997</v>
      </c>
      <c r="N124" s="5">
        <v>40.007354739999997</v>
      </c>
      <c r="O124" s="5">
        <v>0</v>
      </c>
      <c r="P124" s="5">
        <v>50.869487760000005</v>
      </c>
      <c r="Q124" s="5"/>
      <c r="R124">
        <v>64</v>
      </c>
      <c r="S124" s="7">
        <v>0.75</v>
      </c>
    </row>
    <row r="125" spans="1:19" x14ac:dyDescent="0.25">
      <c r="A125" s="2" t="s">
        <v>195</v>
      </c>
      <c r="B125" s="4" t="s">
        <v>194</v>
      </c>
      <c r="C125" s="5">
        <v>467.2354316146666</v>
      </c>
      <c r="D125" s="5">
        <v>1546.8372202758101</v>
      </c>
      <c r="E125" s="5">
        <v>64.807000000000002</v>
      </c>
      <c r="F125" s="5">
        <v>10.339574900000001</v>
      </c>
      <c r="G125" s="5">
        <v>41.3</v>
      </c>
      <c r="H125" s="5">
        <v>65.539000000000001</v>
      </c>
      <c r="I125" s="5">
        <v>4.9722447399999998</v>
      </c>
      <c r="J125" s="5">
        <v>76.912513729999972</v>
      </c>
      <c r="K125" s="5">
        <v>48.203254700000009</v>
      </c>
      <c r="L125" s="5">
        <v>48.203254700000009</v>
      </c>
      <c r="M125" s="5">
        <f t="shared" si="7"/>
        <v>0</v>
      </c>
      <c r="N125" s="5"/>
      <c r="O125" s="5"/>
      <c r="P125" s="5">
        <v>51.796745299999998</v>
      </c>
      <c r="Q125" s="5"/>
      <c r="R125">
        <v>31</v>
      </c>
      <c r="S125" s="7">
        <v>0.52800000000000002</v>
      </c>
    </row>
    <row r="126" spans="1:19" x14ac:dyDescent="0.25">
      <c r="A126" s="2" t="s">
        <v>197</v>
      </c>
      <c r="B126" s="4" t="s">
        <v>196</v>
      </c>
      <c r="C126" s="5">
        <v>9033.4102703457611</v>
      </c>
      <c r="D126" s="5">
        <v>16768.734178776478</v>
      </c>
      <c r="E126" s="5">
        <v>61.470999999999997</v>
      </c>
      <c r="F126" s="5">
        <v>93.973492289999996</v>
      </c>
      <c r="G126" s="5">
        <v>8.4</v>
      </c>
      <c r="H126" s="5">
        <v>77.691000000000003</v>
      </c>
      <c r="I126" s="5">
        <v>8.6903018999999997</v>
      </c>
      <c r="J126" s="5">
        <v>1457.25842285</v>
      </c>
      <c r="K126" s="5">
        <v>71.512748720000005</v>
      </c>
      <c r="L126" s="5">
        <v>45.055046079999997</v>
      </c>
      <c r="M126" s="5">
        <f t="shared" si="7"/>
        <v>0</v>
      </c>
      <c r="N126" s="5"/>
      <c r="O126" s="5"/>
      <c r="P126" s="5">
        <v>27.985509869999998</v>
      </c>
      <c r="Q126" s="5">
        <v>0.5017434999999999</v>
      </c>
      <c r="R126">
        <v>68</v>
      </c>
      <c r="S126" s="7">
        <v>0.74</v>
      </c>
    </row>
    <row r="127" spans="1:19" x14ac:dyDescent="0.25">
      <c r="A127" s="2" t="s">
        <v>199</v>
      </c>
      <c r="B127" s="4" t="s">
        <v>198</v>
      </c>
      <c r="C127" s="5">
        <v>9616.6455581060709</v>
      </c>
      <c r="D127" s="5">
        <v>18301.500469046878</v>
      </c>
      <c r="E127" s="5">
        <v>20.715</v>
      </c>
      <c r="F127" s="5">
        <v>88.911484040000005</v>
      </c>
      <c r="G127" s="5">
        <v>13.9</v>
      </c>
      <c r="H127" s="5">
        <v>74.903999999999996</v>
      </c>
      <c r="I127" s="5">
        <v>5.7227740299999983</v>
      </c>
      <c r="J127" s="5">
        <v>1047.3535156299999</v>
      </c>
      <c r="K127" s="5">
        <v>52.200965879999998</v>
      </c>
      <c r="L127" s="5">
        <v>23.906795499999998</v>
      </c>
      <c r="M127" s="5">
        <f t="shared" si="7"/>
        <v>28.294170380000004</v>
      </c>
      <c r="N127" s="5">
        <v>28.294170380000004</v>
      </c>
      <c r="O127" s="5">
        <v>0</v>
      </c>
      <c r="P127" s="5">
        <v>47.799034120000002</v>
      </c>
      <c r="Q127" s="5">
        <v>0</v>
      </c>
      <c r="R127">
        <v>73</v>
      </c>
      <c r="S127" s="7">
        <v>0.77900000000000003</v>
      </c>
    </row>
    <row r="128" spans="1:19" x14ac:dyDescent="0.25">
      <c r="A128" s="2" t="s">
        <v>389</v>
      </c>
      <c r="B128" s="4" t="s">
        <v>390</v>
      </c>
      <c r="C128" s="5">
        <v>3199.8868463198942</v>
      </c>
      <c r="D128" s="5">
        <v>3483.3315181908952</v>
      </c>
      <c r="E128" s="5">
        <v>24.188999999999993</v>
      </c>
      <c r="F128" s="5">
        <v>83.035490890000005</v>
      </c>
      <c r="G128" s="5">
        <v>29.1</v>
      </c>
      <c r="H128" s="5">
        <v>72.83999</v>
      </c>
      <c r="I128" s="5">
        <v>17.035697940000002</v>
      </c>
      <c r="J128" s="5">
        <v>513.86187743999994</v>
      </c>
      <c r="K128" s="5">
        <v>84.696655270000008</v>
      </c>
      <c r="L128" s="5">
        <v>67.898963930000008</v>
      </c>
      <c r="M128" s="5">
        <f t="shared" si="7"/>
        <v>16.797695159999996</v>
      </c>
      <c r="N128" s="5">
        <v>16.797695159999996</v>
      </c>
      <c r="O128" s="6">
        <v>0</v>
      </c>
      <c r="P128" s="5">
        <v>15.303341870000001</v>
      </c>
      <c r="Q128" s="5"/>
      <c r="R128">
        <v>60</v>
      </c>
      <c r="S128" s="7">
        <v>0.70399999999999996</v>
      </c>
    </row>
    <row r="129" spans="1:19" x14ac:dyDescent="0.25">
      <c r="A129" s="2" t="s">
        <v>391</v>
      </c>
      <c r="B129" s="4" t="s">
        <v>200</v>
      </c>
      <c r="C129" s="5">
        <v>4861.5539714149654</v>
      </c>
      <c r="D129" s="5">
        <v>13888.295390127572</v>
      </c>
      <c r="E129" s="5">
        <v>42.591999999999999</v>
      </c>
      <c r="F129" s="5">
        <v>95.317714300000006</v>
      </c>
      <c r="G129" s="5">
        <v>10</v>
      </c>
      <c r="H129" s="5">
        <v>75.402439024390247</v>
      </c>
      <c r="I129" s="5">
        <v>6.3422789599999998</v>
      </c>
      <c r="J129" s="5">
        <v>876.97595215000001</v>
      </c>
      <c r="K129" s="5">
        <v>65.646606450000007</v>
      </c>
      <c r="L129" s="5">
        <v>6.9025979000000008</v>
      </c>
      <c r="M129" s="5">
        <f t="shared" si="7"/>
        <v>58.74401473999999</v>
      </c>
      <c r="N129" s="5">
        <v>58.74401473999999</v>
      </c>
      <c r="O129" s="5">
        <v>0</v>
      </c>
      <c r="P129" s="5">
        <v>34.353389739999997</v>
      </c>
      <c r="Q129" s="5"/>
      <c r="R129">
        <v>66</v>
      </c>
      <c r="S129" s="7">
        <v>0.77400000000000002</v>
      </c>
    </row>
    <row r="130" spans="1:19" x14ac:dyDescent="0.25">
      <c r="A130" s="2" t="s">
        <v>202</v>
      </c>
      <c r="B130" s="4" t="s">
        <v>201</v>
      </c>
      <c r="C130" s="5">
        <v>751.47288662263998</v>
      </c>
      <c r="D130" s="5">
        <v>2032.6558718800804</v>
      </c>
      <c r="E130" s="5">
        <v>60.009</v>
      </c>
      <c r="F130" s="5">
        <v>37.144087220000003</v>
      </c>
      <c r="G130" s="5">
        <v>66.8</v>
      </c>
      <c r="H130" s="5">
        <v>57.509</v>
      </c>
      <c r="I130" s="5">
        <v>4.1114335100000003</v>
      </c>
      <c r="J130" s="5">
        <v>83.571693420000003</v>
      </c>
      <c r="K130" s="5">
        <v>38.934078219999996</v>
      </c>
      <c r="L130" s="5">
        <v>32.772724150000002</v>
      </c>
      <c r="M130" s="5">
        <f t="shared" si="7"/>
        <v>6.1613521599999999</v>
      </c>
      <c r="N130" s="5">
        <v>6.1613521599999999</v>
      </c>
      <c r="O130" s="5">
        <v>0</v>
      </c>
      <c r="P130" s="5">
        <v>59.772193910000013</v>
      </c>
      <c r="Q130" s="5"/>
      <c r="R130">
        <v>38</v>
      </c>
      <c r="S130" s="7">
        <v>0.434</v>
      </c>
    </row>
    <row r="131" spans="1:19" x14ac:dyDescent="0.25">
      <c r="A131" s="2" t="s">
        <v>204</v>
      </c>
      <c r="B131" s="4" t="s">
        <v>203</v>
      </c>
      <c r="C131" s="5">
        <v>24921.603682086854</v>
      </c>
      <c r="D131" s="5">
        <v>37455.204874469993</v>
      </c>
      <c r="E131" s="5">
        <v>5.5859999999999985</v>
      </c>
      <c r="F131" s="5">
        <v>99.964594750000003</v>
      </c>
      <c r="G131" s="5">
        <v>5.7</v>
      </c>
      <c r="H131" s="5">
        <v>81.89756097560975</v>
      </c>
      <c r="I131" s="5">
        <v>8.8975954099999992</v>
      </c>
      <c r="J131" s="5">
        <v>3373.2385253900006</v>
      </c>
      <c r="K131" s="5">
        <v>60.832233429999995</v>
      </c>
      <c r="L131" s="5">
        <v>60.832233429999995</v>
      </c>
      <c r="M131" s="5">
        <f t="shared" si="7"/>
        <v>0</v>
      </c>
      <c r="N131" s="5"/>
      <c r="O131" s="5"/>
      <c r="P131" s="5">
        <v>39.167770390000001</v>
      </c>
      <c r="Q131" s="5"/>
      <c r="R131">
        <v>79</v>
      </c>
      <c r="S131" s="7">
        <v>0.89500000000000002</v>
      </c>
    </row>
    <row r="132" spans="1:19" x14ac:dyDescent="0.25">
      <c r="A132" s="2" t="s">
        <v>392</v>
      </c>
      <c r="B132" s="4" t="s">
        <v>205</v>
      </c>
      <c r="C132" s="5">
        <v>1196.7433574742117</v>
      </c>
      <c r="D132" s="5">
        <v>4105.4433769866437</v>
      </c>
      <c r="E132" s="5">
        <v>70.141999999999996</v>
      </c>
      <c r="F132" s="5">
        <v>71.255869820000001</v>
      </c>
      <c r="G132" s="5">
        <v>41</v>
      </c>
      <c r="H132" s="5">
        <v>65.81</v>
      </c>
      <c r="I132" s="5">
        <v>5.4778051399999992</v>
      </c>
      <c r="J132" s="5">
        <v>224.88850403000006</v>
      </c>
      <c r="K132" s="5">
        <v>22.514839169999998</v>
      </c>
      <c r="L132" s="5">
        <v>22.117923740000005</v>
      </c>
      <c r="M132" s="5">
        <f t="shared" si="7"/>
        <v>0.39691620999999999</v>
      </c>
      <c r="N132" s="5">
        <v>0.39691620999999999</v>
      </c>
      <c r="O132" s="6">
        <v>0</v>
      </c>
      <c r="P132" s="5">
        <v>77.485160829999998</v>
      </c>
      <c r="Q132" s="5"/>
      <c r="R132">
        <v>54</v>
      </c>
      <c r="S132" s="7">
        <v>0.58299999999999996</v>
      </c>
    </row>
    <row r="133" spans="1:19" x14ac:dyDescent="0.25">
      <c r="A133" s="2" t="s">
        <v>207</v>
      </c>
      <c r="B133" s="4" t="s">
        <v>206</v>
      </c>
      <c r="C133" s="5">
        <v>6514.2726952865296</v>
      </c>
      <c r="D133" s="5">
        <v>16332.848310571351</v>
      </c>
      <c r="E133" s="5">
        <v>34.194000000000003</v>
      </c>
      <c r="F133" s="5">
        <v>95.54342072</v>
      </c>
      <c r="G133" s="5">
        <v>3.3</v>
      </c>
      <c r="H133" s="5">
        <v>76.448780487804882</v>
      </c>
      <c r="I133" s="5">
        <v>9.0218877800000001</v>
      </c>
      <c r="J133" s="5">
        <v>1462.4468994100002</v>
      </c>
      <c r="K133" s="5">
        <v>62.083400729999994</v>
      </c>
      <c r="L133" s="5">
        <v>0.30932525</v>
      </c>
      <c r="M133" s="5">
        <f t="shared" si="7"/>
        <v>61.774070739999999</v>
      </c>
      <c r="N133" s="5">
        <v>61.774070739999999</v>
      </c>
      <c r="O133" s="5">
        <v>0</v>
      </c>
      <c r="P133" s="5">
        <v>37.916603090000002</v>
      </c>
      <c r="Q133" s="5"/>
      <c r="R133">
        <v>64</v>
      </c>
      <c r="S133" s="7">
        <v>0.82899999999999996</v>
      </c>
    </row>
    <row r="134" spans="1:19" x14ac:dyDescent="0.25">
      <c r="A134" s="2" t="s">
        <v>209</v>
      </c>
      <c r="B134" s="4" t="s">
        <v>208</v>
      </c>
      <c r="C134" s="5">
        <v>3875.321675047172</v>
      </c>
      <c r="D134" s="5">
        <v>10648.273982050725</v>
      </c>
      <c r="E134" s="5">
        <v>31.77</v>
      </c>
      <c r="F134" s="5">
        <v>62.044464679999997</v>
      </c>
      <c r="G134" s="5">
        <v>16.600000000000001</v>
      </c>
      <c r="H134" s="5">
        <v>69.111000000000004</v>
      </c>
      <c r="I134" s="5">
        <v>4.2383408499999993</v>
      </c>
      <c r="J134" s="5">
        <v>456.34783936000002</v>
      </c>
      <c r="K134" s="5">
        <v>60.135955809999999</v>
      </c>
      <c r="L134" s="5">
        <v>41.963680269999998</v>
      </c>
      <c r="M134" s="5">
        <f t="shared" si="7"/>
        <v>18.172273639999997</v>
      </c>
      <c r="N134" s="5">
        <v>18.172273639999997</v>
      </c>
      <c r="O134" s="5">
        <v>0</v>
      </c>
      <c r="P134" s="5">
        <v>39.86404799999999</v>
      </c>
      <c r="Q134" s="5"/>
      <c r="R134">
        <v>62</v>
      </c>
      <c r="S134" s="7">
        <v>0.73699999999999999</v>
      </c>
    </row>
    <row r="135" spans="1:19" x14ac:dyDescent="0.25">
      <c r="A135" s="2" t="s">
        <v>393</v>
      </c>
      <c r="B135" s="4" t="s">
        <v>394</v>
      </c>
      <c r="C135" s="5">
        <v>16314.383549364456</v>
      </c>
      <c r="D135" s="5"/>
      <c r="E135" s="5">
        <v>8.6430000000000007</v>
      </c>
      <c r="F135" s="5">
        <v>78.482376439999996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S135" s="3"/>
    </row>
    <row r="136" spans="1:19" x14ac:dyDescent="0.25">
      <c r="A136" s="2" t="s">
        <v>211</v>
      </c>
      <c r="B136" s="4" t="s">
        <v>210</v>
      </c>
      <c r="C136" s="5">
        <v>589.85904996253009</v>
      </c>
      <c r="D136" s="5">
        <v>1291.2680336814606</v>
      </c>
      <c r="E136" s="5">
        <v>65.599999999999994</v>
      </c>
      <c r="F136" s="5">
        <v>29.301701529999999</v>
      </c>
      <c r="G136" s="5">
        <v>61.3</v>
      </c>
      <c r="H136" s="5">
        <v>57.206000000000003</v>
      </c>
      <c r="I136" s="5">
        <v>6.7166338000000012</v>
      </c>
      <c r="J136" s="5">
        <v>86.729789729999993</v>
      </c>
      <c r="K136" s="5">
        <v>51.140167239999997</v>
      </c>
      <c r="L136" s="5">
        <v>51.140167239999997</v>
      </c>
      <c r="M136" s="5">
        <f t="shared" ref="M136:M141" si="8">SUM(N136:O136)</f>
        <v>0</v>
      </c>
      <c r="N136" s="5"/>
      <c r="O136" s="5"/>
      <c r="P136" s="5">
        <v>48.859836579999993</v>
      </c>
      <c r="Q136" s="5"/>
      <c r="R136">
        <v>43</v>
      </c>
      <c r="S136" s="7">
        <v>0.45600000000000002</v>
      </c>
    </row>
    <row r="137" spans="1:19" x14ac:dyDescent="0.25">
      <c r="A137" s="2" t="s">
        <v>213</v>
      </c>
      <c r="B137" s="4" t="s">
        <v>212</v>
      </c>
      <c r="C137" s="5">
        <v>1524.0717525480331</v>
      </c>
      <c r="D137" s="5">
        <v>4200.1525632670118</v>
      </c>
      <c r="E137" s="5">
        <v>48.911000000000001</v>
      </c>
      <c r="F137" s="5">
        <v>43.499870700000002</v>
      </c>
      <c r="G137" s="5">
        <v>55</v>
      </c>
      <c r="H137" s="5">
        <v>63.936</v>
      </c>
      <c r="I137" s="5">
        <v>3.6736376299999995</v>
      </c>
      <c r="J137" s="5">
        <v>154.29881287000001</v>
      </c>
      <c r="K137" s="5">
        <v>47.134365079999995</v>
      </c>
      <c r="L137" s="5">
        <v>38.402332310000006</v>
      </c>
      <c r="M137" s="5">
        <f t="shared" si="8"/>
        <v>8.7320280100000005</v>
      </c>
      <c r="N137" s="5">
        <v>8.7320280100000005</v>
      </c>
      <c r="O137" s="5">
        <v>0</v>
      </c>
      <c r="P137" s="5">
        <v>52.865634920000005</v>
      </c>
      <c r="Q137" s="5"/>
      <c r="R137">
        <v>34</v>
      </c>
      <c r="S137" s="7">
        <v>0.54600000000000004</v>
      </c>
    </row>
    <row r="138" spans="1:19" x14ac:dyDescent="0.25">
      <c r="A138" s="2" t="s">
        <v>215</v>
      </c>
      <c r="B138" s="4" t="s">
        <v>214</v>
      </c>
      <c r="C138" s="5">
        <v>9260.4473025063544</v>
      </c>
      <c r="D138" s="5">
        <v>19229.835488721248</v>
      </c>
      <c r="E138" s="5">
        <v>59</v>
      </c>
      <c r="F138" s="5">
        <v>95.506083970000006</v>
      </c>
      <c r="G138" s="5">
        <v>12.8</v>
      </c>
      <c r="H138" s="5">
        <v>74.353170731707323</v>
      </c>
      <c r="I138" s="5">
        <v>5.6999588000000001</v>
      </c>
      <c r="J138" s="5">
        <v>1098.8331298799999</v>
      </c>
      <c r="K138" s="5">
        <v>44.121208189999997</v>
      </c>
      <c r="L138" s="5">
        <v>44.121208189999997</v>
      </c>
      <c r="M138" s="5">
        <f t="shared" si="8"/>
        <v>0</v>
      </c>
      <c r="N138" s="5"/>
      <c r="O138" s="5"/>
      <c r="P138" s="5">
        <v>55.878787989999999</v>
      </c>
      <c r="Q138" s="5"/>
      <c r="R138">
        <v>63</v>
      </c>
      <c r="S138" s="7">
        <v>0.80400000000000005</v>
      </c>
    </row>
    <row r="139" spans="1:19" x14ac:dyDescent="0.25">
      <c r="A139" s="2" t="s">
        <v>217</v>
      </c>
      <c r="B139" s="4" t="s">
        <v>216</v>
      </c>
      <c r="C139" s="5">
        <v>380.59698768377427</v>
      </c>
      <c r="D139" s="5">
        <v>1445.735112257745</v>
      </c>
      <c r="E139" s="5">
        <v>83.686999999999998</v>
      </c>
      <c r="F139" s="5">
        <v>25.16876246</v>
      </c>
      <c r="G139" s="5">
        <v>36.700000000000003</v>
      </c>
      <c r="H139" s="5">
        <v>61.953000000000003</v>
      </c>
      <c r="I139" s="5">
        <v>9.3333406399999994</v>
      </c>
      <c r="J139" s="5">
        <v>95.532760620000005</v>
      </c>
      <c r="K139" s="5">
        <v>47.308917999999991</v>
      </c>
      <c r="L139" s="5">
        <v>47.308917999999991</v>
      </c>
      <c r="M139" s="5">
        <f t="shared" si="8"/>
        <v>0</v>
      </c>
      <c r="N139" s="5"/>
      <c r="O139" s="5"/>
      <c r="P139" s="5">
        <v>52.323554989999991</v>
      </c>
      <c r="Q139" s="5">
        <v>0.34216945999999998</v>
      </c>
      <c r="R139">
        <v>43</v>
      </c>
      <c r="S139" s="7">
        <v>0.48299999999999998</v>
      </c>
    </row>
    <row r="140" spans="1:19" x14ac:dyDescent="0.25">
      <c r="A140" s="2" t="s">
        <v>219</v>
      </c>
      <c r="B140" s="4" t="s">
        <v>218</v>
      </c>
      <c r="C140" s="5">
        <v>9955.2427216762644</v>
      </c>
      <c r="D140" s="5">
        <v>24801.88843201513</v>
      </c>
      <c r="E140" s="5">
        <v>25.787000000000006</v>
      </c>
      <c r="F140" s="5">
        <v>99.557432500000004</v>
      </c>
      <c r="G140" s="5">
        <v>6.9</v>
      </c>
      <c r="H140" s="5">
        <v>75.460999999999999</v>
      </c>
      <c r="I140" s="5">
        <v>3.8181960600000009</v>
      </c>
      <c r="J140" s="5">
        <v>946.98382568</v>
      </c>
      <c r="K140" s="5">
        <v>53.37649536</v>
      </c>
      <c r="L140" s="5">
        <v>52.681171420000013</v>
      </c>
      <c r="M140" s="5">
        <f t="shared" si="8"/>
        <v>0.57995563999999988</v>
      </c>
      <c r="N140" s="5">
        <v>0.57995563999999988</v>
      </c>
      <c r="O140" s="5">
        <v>0</v>
      </c>
      <c r="P140" s="5">
        <v>46.62350464</v>
      </c>
      <c r="Q140" s="5"/>
      <c r="R140">
        <v>73</v>
      </c>
      <c r="S140" s="7">
        <v>0.81</v>
      </c>
    </row>
    <row r="141" spans="1:19" x14ac:dyDescent="0.25">
      <c r="A141" s="2" t="s">
        <v>221</v>
      </c>
      <c r="B141" s="4" t="s">
        <v>220</v>
      </c>
      <c r="C141" s="5">
        <v>4896.6152600137675</v>
      </c>
      <c r="D141" s="5">
        <v>10633.294417575031</v>
      </c>
      <c r="E141" s="5">
        <v>53.1</v>
      </c>
      <c r="F141" s="5">
        <v>33.864967780000001</v>
      </c>
      <c r="G141" s="5">
        <v>33.299999999999997</v>
      </c>
      <c r="H141" s="5">
        <v>62.119</v>
      </c>
      <c r="I141" s="5">
        <v>9.9810962700000001</v>
      </c>
      <c r="J141" s="5">
        <v>1061.3205566400002</v>
      </c>
      <c r="K141" s="5">
        <v>43.322151180000006</v>
      </c>
      <c r="L141" s="5">
        <v>43.322151180000006</v>
      </c>
      <c r="M141" s="5">
        <f t="shared" si="8"/>
        <v>0</v>
      </c>
      <c r="N141" s="5"/>
      <c r="O141" s="5"/>
      <c r="P141" s="5">
        <v>56.028991699999992</v>
      </c>
      <c r="Q141" s="5">
        <v>0.6488575299999999</v>
      </c>
      <c r="R141">
        <v>59</v>
      </c>
      <c r="S141" s="7">
        <v>0.64600000000000002</v>
      </c>
    </row>
    <row r="142" spans="1:19" x14ac:dyDescent="0.25">
      <c r="A142" s="2" t="s">
        <v>395</v>
      </c>
      <c r="B142" s="4" t="s">
        <v>396</v>
      </c>
      <c r="C142" s="5">
        <v>32520.294162814265</v>
      </c>
      <c r="D142" s="5"/>
      <c r="E142" s="5">
        <v>30.620999999999995</v>
      </c>
      <c r="F142" s="5">
        <v>100</v>
      </c>
      <c r="G142" s="5"/>
      <c r="H142" s="5">
        <v>77.280487804878064</v>
      </c>
      <c r="I142" s="5"/>
      <c r="J142" s="5"/>
      <c r="K142" s="5"/>
      <c r="L142" s="5"/>
      <c r="M142" s="5"/>
      <c r="N142" s="5"/>
      <c r="O142" s="5"/>
      <c r="P142" s="5"/>
      <c r="Q142" s="5"/>
      <c r="S142" s="3"/>
    </row>
    <row r="143" spans="1:19" x14ac:dyDescent="0.25">
      <c r="A143" s="2" t="s">
        <v>223</v>
      </c>
      <c r="B143" s="4" t="s">
        <v>222</v>
      </c>
      <c r="C143" s="5">
        <v>484.15313735080088</v>
      </c>
      <c r="D143" s="5">
        <v>1145.3094019690316</v>
      </c>
      <c r="E143" s="5">
        <v>83.753</v>
      </c>
      <c r="F143" s="5">
        <v>12.55582982</v>
      </c>
      <c r="G143" s="5">
        <v>51.8</v>
      </c>
      <c r="H143" s="5">
        <v>60.631</v>
      </c>
      <c r="I143" s="5">
        <v>5.34746218</v>
      </c>
      <c r="J143" s="5">
        <v>61.241283420000016</v>
      </c>
      <c r="K143" s="5">
        <v>34.888240809999999</v>
      </c>
      <c r="L143" s="5">
        <v>33.822490689999988</v>
      </c>
      <c r="M143" s="5">
        <f t="shared" ref="M143:M159" si="9">SUM(N143:O143)</f>
        <v>1.06575036</v>
      </c>
      <c r="N143" s="5">
        <v>1.06575036</v>
      </c>
      <c r="O143" s="5">
        <v>0</v>
      </c>
      <c r="P143" s="5">
        <v>65.111755370000012</v>
      </c>
      <c r="Q143" s="5"/>
      <c r="R143">
        <v>34</v>
      </c>
      <c r="S143" s="7">
        <v>0.39400000000000002</v>
      </c>
    </row>
    <row r="144" spans="1:19" x14ac:dyDescent="0.25">
      <c r="A144" s="2" t="s">
        <v>225</v>
      </c>
      <c r="B144" s="4" t="s">
        <v>224</v>
      </c>
      <c r="C144" s="5">
        <v>2687.4800564321158</v>
      </c>
      <c r="D144" s="5">
        <v>5426.3327873229364</v>
      </c>
      <c r="E144" s="5">
        <v>52.161999999999999</v>
      </c>
      <c r="F144" s="5">
        <v>38.346874309999997</v>
      </c>
      <c r="G144" s="5">
        <v>79.3</v>
      </c>
      <c r="H144" s="5">
        <v>53.112000000000002</v>
      </c>
      <c r="I144" s="5">
        <v>3.58194971</v>
      </c>
      <c r="J144" s="5">
        <v>194.36854553000001</v>
      </c>
      <c r="K144" s="5">
        <v>19.200321199999998</v>
      </c>
      <c r="L144" s="5">
        <v>18.112798690000005</v>
      </c>
      <c r="M144" s="5">
        <f t="shared" si="9"/>
        <v>1.0875221500000001</v>
      </c>
      <c r="N144" s="5">
        <v>1.0875221500000001</v>
      </c>
      <c r="O144" s="5">
        <v>0</v>
      </c>
      <c r="P144" s="5">
        <v>80.799682619999999</v>
      </c>
      <c r="Q144" s="5"/>
      <c r="R144">
        <v>40</v>
      </c>
      <c r="S144" s="7">
        <v>0.53900000000000003</v>
      </c>
    </row>
    <row r="145" spans="1:19" x14ac:dyDescent="0.25">
      <c r="A145" s="2" t="s">
        <v>227</v>
      </c>
      <c r="B145" s="4" t="s">
        <v>226</v>
      </c>
      <c r="C145" s="5">
        <v>2049.8516660809028</v>
      </c>
      <c r="D145" s="5">
        <v>5293.8704622428741</v>
      </c>
      <c r="E145" s="5">
        <v>42.104999999999997</v>
      </c>
      <c r="F145" s="5">
        <v>71.853883859999996</v>
      </c>
      <c r="G145" s="5">
        <v>16.600000000000001</v>
      </c>
      <c r="H145" s="5">
        <v>73.649000000000001</v>
      </c>
      <c r="I145" s="5">
        <v>7.9630322499999995</v>
      </c>
      <c r="J145" s="5">
        <v>421.55221558000005</v>
      </c>
      <c r="K145" s="5">
        <v>60.022174839999991</v>
      </c>
      <c r="L145" s="5">
        <v>36.271526339999994</v>
      </c>
      <c r="M145" s="5">
        <f t="shared" si="9"/>
        <v>23.750646590000002</v>
      </c>
      <c r="N145" s="5">
        <v>23.750646590000002</v>
      </c>
      <c r="O145" s="5">
        <v>0</v>
      </c>
      <c r="P145" s="5">
        <v>39.977825160000002</v>
      </c>
      <c r="Q145" s="5"/>
      <c r="R145">
        <v>68</v>
      </c>
      <c r="S145" s="7">
        <v>0.66</v>
      </c>
    </row>
    <row r="146" spans="1:19" x14ac:dyDescent="0.25">
      <c r="A146" s="2" t="s">
        <v>229</v>
      </c>
      <c r="B146" s="4" t="s">
        <v>228</v>
      </c>
      <c r="C146" s="5">
        <v>45193.403218797073</v>
      </c>
      <c r="D146" s="5">
        <v>50288.591394937655</v>
      </c>
      <c r="E146" s="5">
        <v>9.8269999999999982</v>
      </c>
      <c r="F146" s="5">
        <v>97.735205989999997</v>
      </c>
      <c r="G146" s="5">
        <v>3.4</v>
      </c>
      <c r="H146" s="5">
        <v>81.509756097560995</v>
      </c>
      <c r="I146" s="5">
        <v>8.7496347399999994</v>
      </c>
      <c r="J146" s="5">
        <v>1178.7287597699999</v>
      </c>
      <c r="K146" s="5">
        <v>97.60478209999998</v>
      </c>
      <c r="L146" s="5">
        <v>97.60478209999998</v>
      </c>
      <c r="M146" s="5">
        <f t="shared" si="9"/>
        <v>0</v>
      </c>
      <c r="N146" s="5"/>
      <c r="O146" s="5"/>
      <c r="P146" s="5">
        <v>2.3952214699999996</v>
      </c>
      <c r="Q146" s="5"/>
      <c r="R146">
        <v>85</v>
      </c>
      <c r="S146" s="7">
        <v>0.94399999999999995</v>
      </c>
    </row>
    <row r="147" spans="1:19" x14ac:dyDescent="0.25">
      <c r="A147" s="2" t="s">
        <v>231</v>
      </c>
      <c r="B147" s="4" t="s">
        <v>230</v>
      </c>
      <c r="C147" s="5">
        <v>74355.515857564344</v>
      </c>
      <c r="D147" s="5">
        <v>60368.920871748458</v>
      </c>
      <c r="E147" s="5">
        <v>18.909000000000006</v>
      </c>
      <c r="F147" s="5">
        <v>98.056728160000006</v>
      </c>
      <c r="G147" s="5">
        <v>2.2000000000000002</v>
      </c>
      <c r="H147" s="5">
        <v>82.304878048780509</v>
      </c>
      <c r="I147" s="5">
        <v>10.32393837</v>
      </c>
      <c r="J147" s="5">
        <v>5203.8041992199996</v>
      </c>
      <c r="K147" s="5">
        <v>81.380203249999994</v>
      </c>
      <c r="L147" s="5">
        <v>6.2285924000000001</v>
      </c>
      <c r="M147" s="5">
        <f t="shared" si="9"/>
        <v>75.151607510000005</v>
      </c>
      <c r="N147" s="5">
        <v>20.039024349999998</v>
      </c>
      <c r="O147" s="5">
        <v>55.112583160000007</v>
      </c>
      <c r="P147" s="5">
        <v>18.618396759999996</v>
      </c>
      <c r="Q147" s="5">
        <v>0</v>
      </c>
      <c r="R147">
        <v>84</v>
      </c>
      <c r="S147" s="7">
        <v>0.95699999999999996</v>
      </c>
    </row>
    <row r="148" spans="1:19" x14ac:dyDescent="0.25">
      <c r="A148" s="2" t="s">
        <v>233</v>
      </c>
      <c r="B148" s="4" t="s">
        <v>232</v>
      </c>
      <c r="C148" s="5">
        <v>901.74960771507062</v>
      </c>
      <c r="D148" s="5">
        <v>2996.220461867656</v>
      </c>
      <c r="E148" s="5">
        <v>81.442999999999998</v>
      </c>
      <c r="F148" s="5">
        <v>58.552991929999997</v>
      </c>
      <c r="G148" s="5">
        <v>29.2</v>
      </c>
      <c r="H148" s="5">
        <v>69.515000000000001</v>
      </c>
      <c r="I148" s="5">
        <v>10.13146877</v>
      </c>
      <c r="J148" s="5">
        <v>6142.4375</v>
      </c>
      <c r="K148" s="5">
        <v>85.51460265999998</v>
      </c>
      <c r="L148" s="5">
        <v>85.51460265999998</v>
      </c>
      <c r="M148" s="5">
        <f t="shared" si="9"/>
        <v>0</v>
      </c>
      <c r="N148" s="5"/>
      <c r="O148" s="5"/>
      <c r="P148" s="5">
        <v>14.485401150000001</v>
      </c>
      <c r="Q148" s="5"/>
      <c r="R148">
        <v>45</v>
      </c>
      <c r="S148" s="7">
        <v>0.60199999999999998</v>
      </c>
    </row>
    <row r="149" spans="1:19" x14ac:dyDescent="0.25">
      <c r="A149" s="2" t="s">
        <v>397</v>
      </c>
      <c r="B149" s="4" t="s">
        <v>398</v>
      </c>
      <c r="C149" s="5">
        <v>8341.012277761547</v>
      </c>
      <c r="D149" s="5">
        <v>13163.757875080439</v>
      </c>
      <c r="E149" s="5">
        <v>0</v>
      </c>
      <c r="F149" s="5">
        <v>65.595526430000007</v>
      </c>
      <c r="G149" s="5">
        <v>27.4</v>
      </c>
      <c r="H149" s="5">
        <v>66.75</v>
      </c>
      <c r="I149" s="5">
        <v>5.4661507599999997</v>
      </c>
      <c r="J149" s="5">
        <v>163.77803039999998</v>
      </c>
      <c r="K149" s="5">
        <v>21.714889530000004</v>
      </c>
      <c r="L149" s="5">
        <v>21.678478239999997</v>
      </c>
      <c r="M149" s="5">
        <f t="shared" si="9"/>
        <v>3.6411299999999994E-2</v>
      </c>
      <c r="N149" s="5">
        <v>3.6411299999999994E-2</v>
      </c>
      <c r="O149" s="5">
        <v>0</v>
      </c>
      <c r="P149" s="5">
        <v>69.06025695999999</v>
      </c>
      <c r="Q149" s="5">
        <v>9.2248592399999989</v>
      </c>
      <c r="R149">
        <v>51</v>
      </c>
      <c r="S149" s="3"/>
    </row>
    <row r="150" spans="1:19" x14ac:dyDescent="0.25">
      <c r="A150" s="2" t="s">
        <v>235</v>
      </c>
      <c r="B150" s="4" t="s">
        <v>234</v>
      </c>
      <c r="C150" s="5">
        <v>38630.726588692844</v>
      </c>
      <c r="D150" s="5">
        <v>37479.682980012927</v>
      </c>
      <c r="E150" s="5">
        <v>13.659000000000006</v>
      </c>
      <c r="F150" s="5">
        <v>99.999997350000001</v>
      </c>
      <c r="G150" s="5">
        <v>4.5999999999999996</v>
      </c>
      <c r="H150" s="5">
        <v>81.456829268292694</v>
      </c>
      <c r="I150" s="5">
        <v>13.73628521</v>
      </c>
      <c r="J150" s="5">
        <v>1803.0343017599996</v>
      </c>
      <c r="K150" s="5">
        <v>92.434028629999986</v>
      </c>
      <c r="L150" s="5">
        <v>92.434028629999986</v>
      </c>
      <c r="M150" s="5">
        <f t="shared" si="9"/>
        <v>0</v>
      </c>
      <c r="N150" s="5"/>
      <c r="O150" s="5"/>
      <c r="P150" s="5">
        <v>7.5659694700000015</v>
      </c>
      <c r="Q150" s="5"/>
      <c r="R150">
        <v>84</v>
      </c>
      <c r="S150" s="7">
        <v>0.93100000000000005</v>
      </c>
    </row>
    <row r="151" spans="1:19" x14ac:dyDescent="0.25">
      <c r="A151" s="2" t="s">
        <v>237</v>
      </c>
      <c r="B151" s="4" t="s">
        <v>236</v>
      </c>
      <c r="C151" s="5">
        <v>18444.927002077264</v>
      </c>
      <c r="D151" s="5">
        <v>35803.657206360454</v>
      </c>
      <c r="E151" s="5">
        <v>18.649999999999999</v>
      </c>
      <c r="F151" s="5">
        <v>99.31900838</v>
      </c>
      <c r="G151" s="5">
        <v>9.6</v>
      </c>
      <c r="H151" s="5">
        <v>76.887</v>
      </c>
      <c r="I151" s="5">
        <v>9.2834434500000018</v>
      </c>
      <c r="J151" s="5">
        <v>3475.5354003900006</v>
      </c>
      <c r="K151" s="5">
        <v>78.989372249999988</v>
      </c>
      <c r="L151" s="5">
        <v>69.991394040000003</v>
      </c>
      <c r="M151" s="5">
        <f t="shared" si="9"/>
        <v>8.9983510999999989</v>
      </c>
      <c r="N151" s="5">
        <v>8.9983510999999989</v>
      </c>
      <c r="O151" s="6">
        <v>0</v>
      </c>
      <c r="P151" s="5">
        <v>21.010629650000002</v>
      </c>
      <c r="Q151" s="5">
        <v>0</v>
      </c>
      <c r="R151">
        <v>67</v>
      </c>
      <c r="S151" s="7">
        <v>0.81299999999999994</v>
      </c>
    </row>
    <row r="152" spans="1:19" x14ac:dyDescent="0.25">
      <c r="A152" s="2" t="s">
        <v>239</v>
      </c>
      <c r="B152" s="4" t="s">
        <v>238</v>
      </c>
      <c r="C152" s="5">
        <v>1356.6678306576289</v>
      </c>
      <c r="D152" s="5">
        <v>4373.0144748822231</v>
      </c>
      <c r="E152" s="5">
        <v>63.973999999999997</v>
      </c>
      <c r="F152" s="5">
        <v>59.201253219999998</v>
      </c>
      <c r="G152" s="5">
        <v>62.1</v>
      </c>
      <c r="H152" s="5">
        <v>66.576999999999998</v>
      </c>
      <c r="I152" s="5">
        <v>4.3044014000000006</v>
      </c>
      <c r="J152" s="5">
        <v>1349.44348145</v>
      </c>
      <c r="K152" s="5">
        <v>89.415863040000005</v>
      </c>
      <c r="L152" s="5">
        <v>89.415863040000005</v>
      </c>
      <c r="M152" s="5">
        <f t="shared" si="9"/>
        <v>0</v>
      </c>
      <c r="N152" s="5"/>
      <c r="O152" s="5"/>
      <c r="P152" s="5">
        <v>10.584135059999998</v>
      </c>
      <c r="Q152" s="5"/>
      <c r="R152">
        <v>41</v>
      </c>
      <c r="S152" s="7">
        <v>0.55700000000000005</v>
      </c>
    </row>
    <row r="153" spans="1:19" x14ac:dyDescent="0.25">
      <c r="A153" s="2" t="s">
        <v>241</v>
      </c>
      <c r="B153" s="4" t="s">
        <v>240</v>
      </c>
      <c r="C153" s="5">
        <v>13630.301141130103</v>
      </c>
      <c r="D153" s="5">
        <v>25319.216687960248</v>
      </c>
      <c r="E153" s="5">
        <v>33.304000000000002</v>
      </c>
      <c r="F153" s="5">
        <v>78.672734109999993</v>
      </c>
      <c r="G153" s="5">
        <v>14.6</v>
      </c>
      <c r="H153" s="5">
        <v>77.775999999999996</v>
      </c>
      <c r="I153" s="5">
        <v>2.6871192499999994</v>
      </c>
      <c r="J153" s="5">
        <v>117.50809479</v>
      </c>
      <c r="K153" s="5">
        <v>27.539548869999997</v>
      </c>
      <c r="L153" s="5">
        <v>26.631879809999997</v>
      </c>
      <c r="M153" s="5">
        <f t="shared" si="9"/>
        <v>0.90766948000000025</v>
      </c>
      <c r="N153" s="5">
        <v>0.90766948000000025</v>
      </c>
      <c r="O153" s="6">
        <v>0</v>
      </c>
      <c r="P153" s="5">
        <v>72.460449219999987</v>
      </c>
      <c r="Q153" s="5">
        <v>0</v>
      </c>
      <c r="R153">
        <v>73</v>
      </c>
      <c r="S153" s="7">
        <v>0.81499999999999995</v>
      </c>
    </row>
    <row r="154" spans="1:19" x14ac:dyDescent="0.25">
      <c r="A154" s="2" t="s">
        <v>243</v>
      </c>
      <c r="B154" s="4" t="s">
        <v>242</v>
      </c>
      <c r="C154" s="5">
        <v>6229.1006739811201</v>
      </c>
      <c r="D154" s="5">
        <v>11572.320793190192</v>
      </c>
      <c r="E154" s="5">
        <v>22.643000000000001</v>
      </c>
      <c r="F154" s="5">
        <v>75.081099760000001</v>
      </c>
      <c r="G154" s="5">
        <v>12.2</v>
      </c>
      <c r="H154" s="5">
        <v>75.792000000000002</v>
      </c>
      <c r="I154" s="5">
        <v>6.8090291000000009</v>
      </c>
      <c r="J154" s="5">
        <v>1724.0032958999996</v>
      </c>
      <c r="K154" s="5">
        <v>63.211475369999995</v>
      </c>
      <c r="L154" s="5">
        <v>37.509681700000002</v>
      </c>
      <c r="M154" s="5">
        <f t="shared" si="9"/>
        <v>25.701793669999994</v>
      </c>
      <c r="N154" s="5">
        <v>25.701793669999994</v>
      </c>
      <c r="O154" s="5">
        <v>0</v>
      </c>
      <c r="P154" s="5">
        <v>36.788524630000005</v>
      </c>
      <c r="Q154" s="5"/>
      <c r="R154">
        <v>76</v>
      </c>
      <c r="S154" s="7">
        <v>0.77700000000000002</v>
      </c>
    </row>
    <row r="155" spans="1:19" x14ac:dyDescent="0.25">
      <c r="A155" s="2" t="s">
        <v>245</v>
      </c>
      <c r="B155" s="4" t="s">
        <v>244</v>
      </c>
      <c r="C155" s="5">
        <v>3001.0431817010308</v>
      </c>
      <c r="D155" s="5">
        <v>7186.7692804453882</v>
      </c>
      <c r="E155" s="5">
        <v>53.716000000000001</v>
      </c>
      <c r="F155" s="5">
        <v>75.278252269999996</v>
      </c>
      <c r="G155" s="5">
        <v>23.4</v>
      </c>
      <c r="H155" s="5">
        <v>70.644000000000005</v>
      </c>
      <c r="I155" s="5">
        <v>4.9796304700000009</v>
      </c>
      <c r="J155" s="5">
        <v>580.97637938999992</v>
      </c>
      <c r="K155" s="5">
        <v>60.907440190000003</v>
      </c>
      <c r="L155" s="5">
        <v>33.304031369999997</v>
      </c>
      <c r="M155" s="5">
        <f t="shared" si="9"/>
        <v>27.603412629999998</v>
      </c>
      <c r="N155" s="5">
        <v>27.603412629999998</v>
      </c>
      <c r="O155" s="5">
        <v>0</v>
      </c>
      <c r="P155" s="5">
        <v>39.092559809999997</v>
      </c>
      <c r="Q155" s="5"/>
      <c r="R155">
        <v>49</v>
      </c>
      <c r="S155" s="7">
        <v>0.71799999999999997</v>
      </c>
    </row>
    <row r="156" spans="1:19" x14ac:dyDescent="0.25">
      <c r="A156" s="2" t="s">
        <v>399</v>
      </c>
      <c r="B156" s="4" t="s">
        <v>400</v>
      </c>
      <c r="C156" s="5">
        <v>15876.46193037079</v>
      </c>
      <c r="D156" s="5">
        <v>18008.090500977709</v>
      </c>
      <c r="E156" s="5">
        <v>21.840999999999994</v>
      </c>
      <c r="F156" s="5">
        <v>98.786074080000006</v>
      </c>
      <c r="G156" s="5">
        <v>18.3</v>
      </c>
      <c r="H156" s="5">
        <v>72.87</v>
      </c>
      <c r="I156" s="5">
        <v>3.8982744199999999</v>
      </c>
      <c r="J156" s="5">
        <v>280.16000365999997</v>
      </c>
      <c r="K156" s="5">
        <v>39.918670650000003</v>
      </c>
      <c r="L156" s="5">
        <v>21.664665219999996</v>
      </c>
      <c r="M156" s="5">
        <f t="shared" si="9"/>
        <v>18.254005429999999</v>
      </c>
      <c r="N156" s="5">
        <v>18.254005429999999</v>
      </c>
      <c r="O156" s="5">
        <v>0</v>
      </c>
      <c r="P156" s="5">
        <v>60.081325529999994</v>
      </c>
      <c r="Q156" s="5">
        <v>0</v>
      </c>
      <c r="R156">
        <v>56</v>
      </c>
      <c r="S156" s="7">
        <v>0.82599999999999996</v>
      </c>
    </row>
    <row r="157" spans="1:19" x14ac:dyDescent="0.25">
      <c r="A157" s="2" t="s">
        <v>247</v>
      </c>
      <c r="B157" s="4" t="s">
        <v>246</v>
      </c>
      <c r="C157" s="5">
        <v>2679.3465792132365</v>
      </c>
      <c r="D157" s="5">
        <v>3966.7707103884013</v>
      </c>
      <c r="E157" s="5">
        <v>86.988</v>
      </c>
      <c r="F157" s="5">
        <v>18.881285500000001</v>
      </c>
      <c r="G157" s="5">
        <v>40.200000000000003</v>
      </c>
      <c r="H157" s="5">
        <v>63.466000000000001</v>
      </c>
      <c r="I157" s="5">
        <v>11.43467426</v>
      </c>
      <c r="J157" s="5">
        <v>2028.0364990200003</v>
      </c>
      <c r="K157" s="5">
        <v>73.616683960000017</v>
      </c>
      <c r="L157" s="5">
        <v>55.381141660000004</v>
      </c>
      <c r="M157" s="5">
        <f t="shared" si="9"/>
        <v>9.4035806700000002</v>
      </c>
      <c r="N157" s="5">
        <v>9.4035806700000002</v>
      </c>
      <c r="O157" s="6">
        <v>0</v>
      </c>
      <c r="P157" s="5">
        <v>25.398517609999999</v>
      </c>
      <c r="Q157" s="5">
        <v>0.98480254000000012</v>
      </c>
      <c r="R157">
        <v>38</v>
      </c>
      <c r="S157" s="7">
        <v>0.55500000000000005</v>
      </c>
    </row>
    <row r="158" spans="1:19" x14ac:dyDescent="0.25">
      <c r="A158" s="2" t="s">
        <v>249</v>
      </c>
      <c r="B158" s="4" t="s">
        <v>248</v>
      </c>
      <c r="C158" s="5">
        <v>12578.495473436242</v>
      </c>
      <c r="D158" s="5">
        <v>26862.052515028841</v>
      </c>
      <c r="E158" s="5">
        <v>39.722000000000001</v>
      </c>
      <c r="F158" s="5">
        <v>98.723690050000002</v>
      </c>
      <c r="G158" s="5">
        <v>4.2</v>
      </c>
      <c r="H158" s="5">
        <v>77.451219512195124</v>
      </c>
      <c r="I158" s="5">
        <v>1.8188171399999997</v>
      </c>
      <c r="J158" s="5">
        <v>72.211326600000007</v>
      </c>
      <c r="K158" s="5">
        <v>77.68991852000002</v>
      </c>
      <c r="L158" s="5">
        <v>77.68991852000002</v>
      </c>
      <c r="M158" s="5">
        <f t="shared" si="9"/>
        <v>0</v>
      </c>
      <c r="N158" s="5"/>
      <c r="O158" s="5"/>
      <c r="P158" s="5">
        <v>22.310077670000002</v>
      </c>
      <c r="Q158" s="5"/>
      <c r="R158">
        <v>73</v>
      </c>
      <c r="S158" s="7">
        <v>0.88</v>
      </c>
    </row>
    <row r="159" spans="1:19" x14ac:dyDescent="0.25">
      <c r="A159" s="2" t="s">
        <v>401</v>
      </c>
      <c r="B159" s="4" t="s">
        <v>402</v>
      </c>
      <c r="C159" s="5">
        <v>29763.488301386144</v>
      </c>
      <c r="D159" s="5">
        <v>34016.022352312888</v>
      </c>
      <c r="E159" s="5">
        <v>6.3760000000000048</v>
      </c>
      <c r="F159" s="5">
        <v>100</v>
      </c>
      <c r="G159" s="5"/>
      <c r="H159" s="5">
        <v>79.353487804878043</v>
      </c>
      <c r="I159" s="5">
        <v>6.3947715800000005</v>
      </c>
      <c r="J159" s="5">
        <v>1716.8990478500004</v>
      </c>
      <c r="K159" s="5">
        <v>69.743957520000009</v>
      </c>
      <c r="L159" s="5">
        <v>9.4610900900000008</v>
      </c>
      <c r="M159" s="5">
        <f t="shared" si="9"/>
        <v>60.28286919</v>
      </c>
      <c r="N159" s="5">
        <v>59.879142760000001</v>
      </c>
      <c r="O159" s="5">
        <v>0.40372642999999997</v>
      </c>
      <c r="P159" s="5">
        <v>30.256042480000009</v>
      </c>
      <c r="Q159" s="5"/>
      <c r="S159" s="3"/>
    </row>
    <row r="160" spans="1:19" x14ac:dyDescent="0.25">
      <c r="A160" s="2" t="s">
        <v>403</v>
      </c>
      <c r="B160" s="4" t="s">
        <v>250</v>
      </c>
      <c r="C160" s="5"/>
      <c r="D160" s="5"/>
      <c r="E160" s="5">
        <v>38.722999999999999</v>
      </c>
      <c r="F160" s="5">
        <v>81.665811919999996</v>
      </c>
      <c r="G160" s="5">
        <v>16</v>
      </c>
      <c r="H160" s="5">
        <v>71.480999999999995</v>
      </c>
      <c r="I160" s="5"/>
      <c r="J160" s="5"/>
      <c r="K160" s="5"/>
      <c r="L160" s="5"/>
      <c r="M160" s="5"/>
      <c r="N160" s="5"/>
      <c r="O160" s="5"/>
      <c r="P160" s="5"/>
      <c r="Q160" s="5"/>
      <c r="R160">
        <v>39</v>
      </c>
      <c r="S160" s="3"/>
    </row>
    <row r="161" spans="1:19" x14ac:dyDescent="0.25">
      <c r="A161" s="2" t="s">
        <v>252</v>
      </c>
      <c r="B161" s="4" t="s">
        <v>251</v>
      </c>
      <c r="C161" s="5">
        <v>19250.106537685195</v>
      </c>
      <c r="D161" s="5">
        <v>29660.896067252623</v>
      </c>
      <c r="E161" s="5">
        <v>36.485999999999997</v>
      </c>
      <c r="F161" s="5">
        <v>99.442068329999998</v>
      </c>
      <c r="G161" s="5">
        <v>3</v>
      </c>
      <c r="H161" s="5">
        <v>81.124390243902454</v>
      </c>
      <c r="I161" s="5">
        <v>9.3164577499999996</v>
      </c>
      <c r="J161" s="5">
        <v>2758.8845214799999</v>
      </c>
      <c r="K161" s="5">
        <v>61.729804989999991</v>
      </c>
      <c r="L161" s="5">
        <v>59.41102982000001</v>
      </c>
      <c r="M161" s="5">
        <f>SUM(N161:O161)</f>
        <v>2.31877398</v>
      </c>
      <c r="N161" s="5">
        <v>2.31877398</v>
      </c>
      <c r="O161" s="5">
        <v>0</v>
      </c>
      <c r="P161" s="5">
        <v>38.270195010000009</v>
      </c>
      <c r="Q161" s="5">
        <v>0</v>
      </c>
      <c r="R161">
        <v>82</v>
      </c>
      <c r="S161" s="7">
        <v>0.86399999999999999</v>
      </c>
    </row>
    <row r="162" spans="1:19" x14ac:dyDescent="0.25">
      <c r="A162" s="2" t="s">
        <v>254</v>
      </c>
      <c r="B162" s="4" t="s">
        <v>253</v>
      </c>
      <c r="C162" s="5">
        <v>5413.7760206185831</v>
      </c>
      <c r="D162" s="5">
        <v>11486.523190555668</v>
      </c>
      <c r="E162" s="5">
        <v>39.25</v>
      </c>
      <c r="F162" s="5">
        <v>87.593126920000003</v>
      </c>
      <c r="G162" s="5">
        <v>19</v>
      </c>
      <c r="H162" s="5">
        <v>73.662000000000006</v>
      </c>
      <c r="I162" s="5">
        <v>6.7004246699999985</v>
      </c>
      <c r="J162" s="5">
        <v>768.63891602000001</v>
      </c>
      <c r="K162" s="5">
        <v>47.221763609999996</v>
      </c>
      <c r="L162" s="5">
        <v>30.229398730000003</v>
      </c>
      <c r="M162" s="5">
        <f>SUM(N162:O162)</f>
        <v>16.9923687</v>
      </c>
      <c r="N162" s="5">
        <v>16.9923687</v>
      </c>
      <c r="O162" s="5">
        <v>0</v>
      </c>
      <c r="P162" s="5">
        <v>52.778232570000014</v>
      </c>
      <c r="Q162" s="5">
        <v>0</v>
      </c>
      <c r="R162">
        <v>59</v>
      </c>
      <c r="S162" s="7">
        <v>0.72799999999999998</v>
      </c>
    </row>
    <row r="163" spans="1:19" x14ac:dyDescent="0.25">
      <c r="A163" s="2" t="s">
        <v>404</v>
      </c>
      <c r="B163" s="4" t="s">
        <v>405</v>
      </c>
      <c r="C163" s="5"/>
      <c r="D163" s="5"/>
      <c r="E163" s="5">
        <v>38.317</v>
      </c>
      <c r="F163" s="5">
        <v>97.234722160000004</v>
      </c>
      <c r="G163" s="5"/>
      <c r="H163" s="5">
        <v>76.787000000000006</v>
      </c>
      <c r="I163" s="5"/>
      <c r="J163" s="5"/>
      <c r="K163" s="5"/>
      <c r="L163" s="5"/>
      <c r="M163" s="5"/>
      <c r="N163" s="5"/>
      <c r="O163" s="5"/>
      <c r="P163" s="5"/>
      <c r="Q163" s="5"/>
      <c r="S163" s="3"/>
    </row>
    <row r="164" spans="1:19" x14ac:dyDescent="0.25">
      <c r="A164" s="2" t="s">
        <v>256</v>
      </c>
      <c r="B164" s="4" t="s">
        <v>255</v>
      </c>
      <c r="C164" s="5">
        <v>63039.112625802729</v>
      </c>
      <c r="D164" s="5">
        <v>92968.232096463835</v>
      </c>
      <c r="E164" s="5">
        <v>1.0550000000000068</v>
      </c>
      <c r="F164" s="5">
        <v>100</v>
      </c>
      <c r="G164" s="5">
        <v>6.7</v>
      </c>
      <c r="H164" s="5">
        <v>79.757999999999996</v>
      </c>
      <c r="I164" s="5">
        <v>3.00097346</v>
      </c>
      <c r="J164" s="5">
        <v>2789.9477539099998</v>
      </c>
      <c r="K164" s="5">
        <v>83.56843567</v>
      </c>
      <c r="L164" s="5">
        <v>83.56843567</v>
      </c>
      <c r="M164" s="5">
        <f t="shared" ref="M164:M175" si="10">SUM(N164:O164)</f>
        <v>0</v>
      </c>
      <c r="N164" s="5"/>
      <c r="O164" s="5"/>
      <c r="P164" s="5">
        <v>16.431566240000002</v>
      </c>
      <c r="Q164" s="5"/>
      <c r="R164">
        <v>66</v>
      </c>
      <c r="S164" s="7">
        <v>0.84799999999999998</v>
      </c>
    </row>
    <row r="165" spans="1:19" x14ac:dyDescent="0.25">
      <c r="A165" s="2" t="s">
        <v>258</v>
      </c>
      <c r="B165" s="4" t="s">
        <v>257</v>
      </c>
      <c r="C165" s="5">
        <v>8969.1489214619342</v>
      </c>
      <c r="D165" s="5">
        <v>21605.835615311738</v>
      </c>
      <c r="E165" s="5">
        <v>46.113</v>
      </c>
      <c r="F165" s="5">
        <v>83.023976259999998</v>
      </c>
      <c r="G165" s="5">
        <v>7.7</v>
      </c>
      <c r="H165" s="5">
        <v>74.912195121951228</v>
      </c>
      <c r="I165" s="5">
        <v>4.947215560000001</v>
      </c>
      <c r="J165" s="5">
        <v>1065.9272460899999</v>
      </c>
      <c r="K165" s="5">
        <v>78.022117610000009</v>
      </c>
      <c r="L165" s="5">
        <v>13.502857209999997</v>
      </c>
      <c r="M165" s="5">
        <f t="shared" si="10"/>
        <v>64.519256590000012</v>
      </c>
      <c r="N165" s="5">
        <v>64.519256590000012</v>
      </c>
      <c r="O165" s="5">
        <v>0</v>
      </c>
      <c r="P165" s="5">
        <v>21.977884289999999</v>
      </c>
      <c r="Q165" s="5"/>
      <c r="R165">
        <v>71</v>
      </c>
      <c r="S165" s="7">
        <v>0.82799999999999996</v>
      </c>
    </row>
    <row r="166" spans="1:19" x14ac:dyDescent="0.25">
      <c r="A166" s="2" t="s">
        <v>406</v>
      </c>
      <c r="B166" s="4" t="s">
        <v>259</v>
      </c>
      <c r="C166" s="5">
        <v>9313.0136248499603</v>
      </c>
      <c r="D166" s="5">
        <v>24085.324184794699</v>
      </c>
      <c r="E166" s="5">
        <v>25.95</v>
      </c>
      <c r="F166" s="5">
        <v>88.077735799999999</v>
      </c>
      <c r="G166" s="5">
        <v>6.6</v>
      </c>
      <c r="H166" s="5">
        <v>71.183414634146345</v>
      </c>
      <c r="I166" s="5">
        <v>5.2960438700000001</v>
      </c>
      <c r="J166" s="5">
        <v>1288.07067871</v>
      </c>
      <c r="K166" s="5">
        <v>58.718524929999987</v>
      </c>
      <c r="L166" s="5">
        <v>22.861904139999996</v>
      </c>
      <c r="M166" s="5">
        <f t="shared" si="10"/>
        <v>35.856620790000001</v>
      </c>
      <c r="N166" s="5">
        <v>35.856620790000001</v>
      </c>
      <c r="O166" s="5">
        <v>0</v>
      </c>
      <c r="P166" s="5">
        <v>41.281475069999999</v>
      </c>
      <c r="Q166" s="5"/>
      <c r="R166">
        <v>71</v>
      </c>
      <c r="S166" s="7">
        <v>0.82399999999999995</v>
      </c>
    </row>
    <row r="167" spans="1:19" x14ac:dyDescent="0.25">
      <c r="A167" s="2" t="s">
        <v>261</v>
      </c>
      <c r="B167" s="4" t="s">
        <v>260</v>
      </c>
      <c r="C167" s="5">
        <v>751.07739261788527</v>
      </c>
      <c r="D167" s="5">
        <v>1804.5499523422325</v>
      </c>
      <c r="E167" s="5">
        <v>82.995999999999995</v>
      </c>
      <c r="F167" s="5">
        <v>64.239883410000004</v>
      </c>
      <c r="G167" s="5">
        <v>34.6</v>
      </c>
      <c r="H167" s="5">
        <v>67.45</v>
      </c>
      <c r="I167" s="5">
        <v>6.6210732499999994</v>
      </c>
      <c r="J167" s="5">
        <v>120.0847168</v>
      </c>
      <c r="K167" s="5">
        <v>62.593830109999999</v>
      </c>
      <c r="L167" s="5">
        <v>35.729801179999995</v>
      </c>
      <c r="M167" s="5">
        <f t="shared" si="10"/>
        <v>17.814312459999996</v>
      </c>
      <c r="N167" s="5">
        <v>12.641411779999999</v>
      </c>
      <c r="O167" s="5">
        <v>5.1729006799999997</v>
      </c>
      <c r="P167" s="5">
        <v>36.334056850000003</v>
      </c>
      <c r="Q167" s="5"/>
      <c r="R167">
        <v>53</v>
      </c>
      <c r="S167" s="7">
        <v>0.54300000000000004</v>
      </c>
    </row>
    <row r="168" spans="1:19" x14ac:dyDescent="0.25">
      <c r="A168" s="2" t="s">
        <v>263</v>
      </c>
      <c r="B168" s="4" t="s">
        <v>262</v>
      </c>
      <c r="C168" s="5">
        <v>20627.926928820383</v>
      </c>
      <c r="D168" s="5">
        <v>48611.131474837101</v>
      </c>
      <c r="E168" s="5">
        <v>16.82</v>
      </c>
      <c r="F168" s="5">
        <v>99.755409909999997</v>
      </c>
      <c r="G168" s="5">
        <v>7.8</v>
      </c>
      <c r="H168" s="5">
        <v>74.650999999999996</v>
      </c>
      <c r="I168" s="5">
        <v>5.9983448999999993</v>
      </c>
      <c r="J168" s="5">
        <v>2915.8618164099998</v>
      </c>
      <c r="K168" s="5">
        <v>68.473876950000005</v>
      </c>
      <c r="L168" s="5">
        <v>68.473876950000005</v>
      </c>
      <c r="M168" s="5">
        <f t="shared" si="10"/>
        <v>0</v>
      </c>
      <c r="N168" s="5"/>
      <c r="O168" s="5"/>
      <c r="P168" s="5">
        <v>31.526126859999998</v>
      </c>
      <c r="Q168" s="5"/>
      <c r="R168">
        <v>71</v>
      </c>
      <c r="S168" s="7">
        <v>0.85399999999999998</v>
      </c>
    </row>
    <row r="169" spans="1:19" x14ac:dyDescent="0.25">
      <c r="A169" s="2" t="s">
        <v>265</v>
      </c>
      <c r="B169" s="4" t="s">
        <v>264</v>
      </c>
      <c r="C169" s="5">
        <v>1329.6359616954401</v>
      </c>
      <c r="D169" s="5">
        <v>4434.4749946778802</v>
      </c>
      <c r="E169" s="5">
        <v>66.105999999999995</v>
      </c>
      <c r="F169" s="5">
        <v>35.06823567</v>
      </c>
      <c r="G169" s="5">
        <v>45.2</v>
      </c>
      <c r="H169" s="5">
        <v>64.429000000000002</v>
      </c>
      <c r="I169" s="5">
        <v>7.2674708399999997</v>
      </c>
      <c r="J169" s="5">
        <v>322.54861450000004</v>
      </c>
      <c r="K169" s="5">
        <v>31.358695980000004</v>
      </c>
      <c r="L169" s="5">
        <v>29.078805919999997</v>
      </c>
      <c r="M169" s="5">
        <f t="shared" si="10"/>
        <v>2.2798912499999995</v>
      </c>
      <c r="N169" s="5">
        <v>2.2798912499999995</v>
      </c>
      <c r="O169" s="5">
        <v>0</v>
      </c>
      <c r="P169" s="5">
        <v>68.641304020000007</v>
      </c>
      <c r="Q169" s="5"/>
      <c r="R169">
        <v>42</v>
      </c>
      <c r="S169" s="7">
        <v>0.51</v>
      </c>
    </row>
    <row r="170" spans="1:19" x14ac:dyDescent="0.25">
      <c r="A170" s="2" t="s">
        <v>267</v>
      </c>
      <c r="B170" s="4" t="s">
        <v>266</v>
      </c>
      <c r="C170" s="5">
        <v>1219.2494151330177</v>
      </c>
      <c r="D170" s="5">
        <v>2971.3468169974822</v>
      </c>
      <c r="E170" s="5">
        <v>54.137999999999998</v>
      </c>
      <c r="F170" s="5">
        <v>52.059899350000002</v>
      </c>
      <c r="G170" s="5">
        <v>34.700000000000003</v>
      </c>
      <c r="H170" s="5">
        <v>66.747</v>
      </c>
      <c r="I170" s="5">
        <v>4.382573129999999</v>
      </c>
      <c r="J170" s="5">
        <v>130.22137450999998</v>
      </c>
      <c r="K170" s="5">
        <v>41.620429989999991</v>
      </c>
      <c r="L170" s="5">
        <v>37.530303960000005</v>
      </c>
      <c r="M170" s="5">
        <f t="shared" si="10"/>
        <v>4.0270190200000009</v>
      </c>
      <c r="N170" s="5">
        <v>4.0270190200000009</v>
      </c>
      <c r="O170" s="5">
        <v>0</v>
      </c>
      <c r="P170" s="5">
        <v>58.379573820000019</v>
      </c>
      <c r="Q170" s="5"/>
      <c r="R170">
        <v>46</v>
      </c>
      <c r="S170" s="7">
        <v>0.51200000000000001</v>
      </c>
    </row>
    <row r="171" spans="1:19" x14ac:dyDescent="0.25">
      <c r="A171" s="2" t="s">
        <v>269</v>
      </c>
      <c r="B171" s="4" t="s">
        <v>268</v>
      </c>
      <c r="C171" s="5">
        <v>55646.61874695048</v>
      </c>
      <c r="D171" s="5">
        <v>86974.747623062663</v>
      </c>
      <c r="E171" s="5">
        <v>0</v>
      </c>
      <c r="F171" s="5">
        <v>100</v>
      </c>
      <c r="G171" s="5">
        <v>2.2000000000000002</v>
      </c>
      <c r="H171" s="5">
        <v>82.743902439024396</v>
      </c>
      <c r="I171" s="5">
        <v>4.18069837</v>
      </c>
      <c r="J171" s="5">
        <v>3598.9906962099994</v>
      </c>
      <c r="K171" s="5">
        <v>52.16050632999999</v>
      </c>
      <c r="L171" s="5">
        <v>40.822849470000001</v>
      </c>
      <c r="M171" s="5">
        <f t="shared" si="10"/>
        <v>11.337656859999989</v>
      </c>
      <c r="N171" s="5">
        <v>6.2544887499999993</v>
      </c>
      <c r="O171" s="6">
        <f>K171-L171-N171</f>
        <v>5.0831681099999892</v>
      </c>
      <c r="P171" s="5">
        <v>47.83949367000001</v>
      </c>
      <c r="Q171" s="5"/>
      <c r="R171">
        <v>84</v>
      </c>
      <c r="S171" s="7">
        <v>0.93799999999999994</v>
      </c>
    </row>
    <row r="172" spans="1:19" x14ac:dyDescent="0.25">
      <c r="A172" s="2" t="s">
        <v>271</v>
      </c>
      <c r="B172" s="4" t="s">
        <v>270</v>
      </c>
      <c r="C172" s="5">
        <v>2167.1199282907846</v>
      </c>
      <c r="D172" s="5">
        <v>2446.4991942977776</v>
      </c>
      <c r="E172" s="5">
        <v>77.64</v>
      </c>
      <c r="F172" s="5">
        <v>31.840768560000001</v>
      </c>
      <c r="G172" s="5">
        <v>19.3</v>
      </c>
      <c r="H172" s="5">
        <v>72.173000000000002</v>
      </c>
      <c r="I172" s="5">
        <v>4.6392335899999999</v>
      </c>
      <c r="J172" s="5">
        <v>113.60162354000002</v>
      </c>
      <c r="K172" s="5">
        <v>87.756019590000022</v>
      </c>
      <c r="L172" s="5">
        <v>87.756019590000022</v>
      </c>
      <c r="M172" s="5">
        <f t="shared" si="10"/>
        <v>0</v>
      </c>
      <c r="N172" s="5"/>
      <c r="O172" s="5"/>
      <c r="P172" s="5">
        <v>12.243978500000001</v>
      </c>
      <c r="Q172" s="5"/>
      <c r="R172">
        <v>48</v>
      </c>
      <c r="S172" s="7">
        <v>0.56699999999999995</v>
      </c>
    </row>
    <row r="173" spans="1:19" x14ac:dyDescent="0.25">
      <c r="A173" s="2" t="s">
        <v>273</v>
      </c>
      <c r="B173" s="4" t="s">
        <v>272</v>
      </c>
      <c r="C173" s="5">
        <v>588.22886279481565</v>
      </c>
      <c r="D173" s="5">
        <v>1586.6897540866585</v>
      </c>
      <c r="E173" s="5">
        <v>59.170999999999999</v>
      </c>
      <c r="F173" s="5">
        <v>14.89637314</v>
      </c>
      <c r="G173" s="5">
        <v>95.1</v>
      </c>
      <c r="H173" s="5">
        <v>52.941000000000003</v>
      </c>
      <c r="I173" s="5">
        <v>20.413413999999996</v>
      </c>
      <c r="J173" s="5">
        <v>326.45437621999997</v>
      </c>
      <c r="K173" s="5">
        <v>19.661314009999998</v>
      </c>
      <c r="L173" s="5">
        <v>19.661314009999998</v>
      </c>
      <c r="M173" s="5">
        <f t="shared" si="10"/>
        <v>0</v>
      </c>
      <c r="N173" s="5"/>
      <c r="O173" s="5"/>
      <c r="P173" s="5">
        <v>50.456573489999997</v>
      </c>
      <c r="Q173" s="5">
        <v>29.882114410000003</v>
      </c>
      <c r="R173">
        <v>35</v>
      </c>
      <c r="S173" s="7">
        <v>0.45200000000000001</v>
      </c>
    </row>
    <row r="174" spans="1:19" x14ac:dyDescent="0.25">
      <c r="A174" s="2" t="s">
        <v>275</v>
      </c>
      <c r="B174" s="4" t="s">
        <v>274</v>
      </c>
      <c r="C174" s="5">
        <v>3705.5797035345254</v>
      </c>
      <c r="D174" s="5">
        <v>7597.689173516942</v>
      </c>
      <c r="E174" s="5">
        <v>30.3</v>
      </c>
      <c r="F174" s="5">
        <v>83.090076310000001</v>
      </c>
      <c r="G174" s="5">
        <v>13.3</v>
      </c>
      <c r="H174" s="5">
        <v>72.412000000000006</v>
      </c>
      <c r="I174" s="5">
        <v>7.6303405799999995</v>
      </c>
      <c r="J174" s="5">
        <v>579.72338866999996</v>
      </c>
      <c r="K174" s="5">
        <v>66.15724182000001</v>
      </c>
      <c r="L174" s="5">
        <v>37.556449890000003</v>
      </c>
      <c r="M174" s="5">
        <f t="shared" si="10"/>
        <v>28.600793839999994</v>
      </c>
      <c r="N174" s="5">
        <v>28.600793839999994</v>
      </c>
      <c r="O174" s="6">
        <v>0</v>
      </c>
      <c r="P174" s="5">
        <v>33.842758179999997</v>
      </c>
      <c r="Q174" s="5"/>
      <c r="R174">
        <v>73</v>
      </c>
      <c r="S174" s="7">
        <v>0.67300000000000004</v>
      </c>
    </row>
    <row r="175" spans="1:19" x14ac:dyDescent="0.25">
      <c r="A175" s="2" t="s">
        <v>407</v>
      </c>
      <c r="B175" s="4" t="s">
        <v>408</v>
      </c>
      <c r="C175" s="5">
        <v>42662.902651346114</v>
      </c>
      <c r="D175" s="5">
        <v>55614.622171424518</v>
      </c>
      <c r="E175" s="5">
        <v>3.2609999999999957</v>
      </c>
      <c r="F175" s="5">
        <v>100</v>
      </c>
      <c r="G175" s="5">
        <v>1.9</v>
      </c>
      <c r="H175" s="5">
        <v>83.239990000000006</v>
      </c>
      <c r="I175" s="5">
        <v>7.1782612799999992</v>
      </c>
      <c r="J175" s="5">
        <v>3467.5778808599994</v>
      </c>
      <c r="K175" s="5">
        <f>L175+M175</f>
        <v>99.999995949999999</v>
      </c>
      <c r="L175" s="5">
        <v>2.2480428199999998</v>
      </c>
      <c r="M175" s="5">
        <f t="shared" si="10"/>
        <v>97.751953130000004</v>
      </c>
      <c r="N175" s="5">
        <v>79.468307499999995</v>
      </c>
      <c r="O175" s="5">
        <v>18.283645630000002</v>
      </c>
      <c r="P175" s="5"/>
      <c r="Q175" s="5"/>
      <c r="R175">
        <v>80</v>
      </c>
      <c r="S175" s="3"/>
    </row>
    <row r="176" spans="1:19" x14ac:dyDescent="0.25">
      <c r="A176" s="2" t="s">
        <v>409</v>
      </c>
      <c r="B176" s="4" t="s">
        <v>410</v>
      </c>
      <c r="C176" s="5">
        <v>386.43781698487669</v>
      </c>
      <c r="D176" s="5">
        <v>1082.8858789451458</v>
      </c>
      <c r="E176" s="5">
        <v>56.755000000000003</v>
      </c>
      <c r="F176" s="5">
        <v>34.031258989999998</v>
      </c>
      <c r="G176" s="5">
        <v>83.6</v>
      </c>
      <c r="H176" s="5">
        <v>55.92</v>
      </c>
      <c r="I176" s="5"/>
      <c r="J176" s="5"/>
      <c r="K176" s="5"/>
      <c r="L176" s="5"/>
      <c r="M176" s="5"/>
      <c r="N176" s="5"/>
      <c r="O176" s="5"/>
      <c r="P176" s="5"/>
      <c r="Q176" s="5"/>
      <c r="R176">
        <v>24</v>
      </c>
      <c r="S176" s="3"/>
    </row>
    <row r="177" spans="1:19" x14ac:dyDescent="0.25">
      <c r="A177" s="2" t="s">
        <v>277</v>
      </c>
      <c r="B177" s="4" t="s">
        <v>276</v>
      </c>
      <c r="C177" s="5">
        <v>5588.9807276855599</v>
      </c>
      <c r="D177" s="5">
        <v>14928.467038716715</v>
      </c>
      <c r="E177" s="5">
        <v>44.304000000000002</v>
      </c>
      <c r="F177" s="5">
        <v>97.448388850000001</v>
      </c>
      <c r="G177" s="5">
        <v>5.4</v>
      </c>
      <c r="H177" s="5">
        <v>75.287804878048789</v>
      </c>
      <c r="I177" s="5">
        <v>8.8132000000000001</v>
      </c>
      <c r="J177" s="5">
        <v>1312.1549072299999</v>
      </c>
      <c r="K177" s="5">
        <v>58.031208040000003</v>
      </c>
      <c r="L177" s="5">
        <v>3.5317041899999992</v>
      </c>
      <c r="M177" s="5">
        <f>SUM(N177:O177)</f>
        <v>54.499500270000013</v>
      </c>
      <c r="N177" s="5">
        <v>54.499500270000013</v>
      </c>
      <c r="O177" s="5">
        <v>0</v>
      </c>
      <c r="P177" s="5">
        <v>41.968791959999997</v>
      </c>
      <c r="Q177" s="5"/>
      <c r="R177">
        <v>69</v>
      </c>
      <c r="S177" s="7">
        <v>0.80600000000000005</v>
      </c>
    </row>
    <row r="178" spans="1:19" x14ac:dyDescent="0.25">
      <c r="A178" s="2" t="s">
        <v>411</v>
      </c>
      <c r="B178" s="4" t="s">
        <v>412</v>
      </c>
      <c r="C178" s="5">
        <v>1119.6514371656524</v>
      </c>
      <c r="D178" s="5">
        <v>1234.7255756489506</v>
      </c>
      <c r="E178" s="5">
        <v>81.147999999999996</v>
      </c>
      <c r="F178" s="5">
        <v>10.89399652</v>
      </c>
      <c r="G178" s="5">
        <v>63.3</v>
      </c>
      <c r="H178" s="5">
        <v>56.854999999999997</v>
      </c>
      <c r="I178" s="5"/>
      <c r="J178" s="5"/>
      <c r="K178" s="5"/>
      <c r="L178" s="5"/>
      <c r="M178" s="5"/>
      <c r="N178" s="5"/>
      <c r="O178" s="5"/>
      <c r="P178" s="5"/>
      <c r="Q178" s="5"/>
      <c r="R178">
        <v>28</v>
      </c>
      <c r="S178" s="7">
        <v>0.433</v>
      </c>
    </row>
    <row r="179" spans="1:19" x14ac:dyDescent="0.25">
      <c r="A179" s="2" t="s">
        <v>413</v>
      </c>
      <c r="B179" s="4" t="s">
        <v>278</v>
      </c>
      <c r="C179" s="5">
        <v>1584.7756574378843</v>
      </c>
      <c r="D179" s="5">
        <v>3837.492528207988</v>
      </c>
      <c r="E179" s="5">
        <v>29.825999999999993</v>
      </c>
      <c r="F179" s="5">
        <v>40.577006140000002</v>
      </c>
      <c r="G179" s="5">
        <v>18.5</v>
      </c>
      <c r="H179" s="5">
        <v>69.376999999999995</v>
      </c>
      <c r="I179" s="5">
        <v>5.3400964700000007</v>
      </c>
      <c r="J179" s="5">
        <v>204.94856262000002</v>
      </c>
      <c r="K179" s="5">
        <v>42.63481522</v>
      </c>
      <c r="L179" s="5">
        <v>42.40810393999999</v>
      </c>
      <c r="M179" s="5">
        <f t="shared" ref="M179:M184" si="11">SUM(N179:O179)</f>
        <v>0.22670798999999997</v>
      </c>
      <c r="N179" s="5">
        <v>0.22670798999999997</v>
      </c>
      <c r="O179" s="5">
        <v>0</v>
      </c>
      <c r="P179" s="5">
        <v>57.365184779999993</v>
      </c>
      <c r="Q179" s="5"/>
      <c r="R179">
        <v>58</v>
      </c>
      <c r="S179" s="7">
        <v>0.625</v>
      </c>
    </row>
    <row r="180" spans="1:19" x14ac:dyDescent="0.25">
      <c r="A180" s="2" t="s">
        <v>280</v>
      </c>
      <c r="B180" s="4" t="s">
        <v>279</v>
      </c>
      <c r="C180" s="5">
        <v>9168.2371566400907</v>
      </c>
      <c r="D180" s="5">
        <v>17210.270341931275</v>
      </c>
      <c r="E180" s="5">
        <v>33.944000000000003</v>
      </c>
      <c r="F180" s="5">
        <v>86.478853979999997</v>
      </c>
      <c r="G180" s="5">
        <v>18.2</v>
      </c>
      <c r="H180" s="5">
        <v>71.248999999999995</v>
      </c>
      <c r="I180" s="5">
        <v>6.2192668900000019</v>
      </c>
      <c r="J180" s="5">
        <v>999.57397460999982</v>
      </c>
      <c r="K180" s="5">
        <v>63.54145432</v>
      </c>
      <c r="L180" s="5">
        <v>21.981170649999999</v>
      </c>
      <c r="M180" s="5">
        <f t="shared" si="11"/>
        <v>41.560281760000009</v>
      </c>
      <c r="N180" s="5">
        <v>32.789466860000005</v>
      </c>
      <c r="O180" s="5">
        <v>8.7708149000000013</v>
      </c>
      <c r="P180" s="5">
        <v>36.45854568</v>
      </c>
      <c r="Q180" s="5"/>
      <c r="R180">
        <v>67</v>
      </c>
      <c r="S180" s="7">
        <v>0.73799999999999999</v>
      </c>
    </row>
    <row r="181" spans="1:19" x14ac:dyDescent="0.25">
      <c r="A181" s="2" t="s">
        <v>414</v>
      </c>
      <c r="B181" s="4" t="s">
        <v>281</v>
      </c>
      <c r="C181" s="5">
        <v>16342.216262109338</v>
      </c>
      <c r="D181" s="5">
        <v>29964.888610940819</v>
      </c>
      <c r="E181" s="5">
        <v>46.110999999999997</v>
      </c>
      <c r="F181" s="5">
        <v>97.520827150000002</v>
      </c>
      <c r="G181" s="5">
        <v>5.0999999999999996</v>
      </c>
      <c r="H181" s="5">
        <v>76.563414634146341</v>
      </c>
      <c r="I181" s="5">
        <v>6.7925415000000013</v>
      </c>
      <c r="J181" s="5">
        <v>2033.2246093799999</v>
      </c>
      <c r="K181" s="5">
        <f>L181+M181</f>
        <v>100.00000143000001</v>
      </c>
      <c r="L181" s="5">
        <v>4.3346877099999999</v>
      </c>
      <c r="M181" s="5">
        <f t="shared" si="11"/>
        <v>95.665313720000015</v>
      </c>
      <c r="N181" s="5">
        <v>75.381439210000011</v>
      </c>
      <c r="O181" s="5">
        <v>20.28387451</v>
      </c>
      <c r="P181" s="5"/>
      <c r="Q181" s="5"/>
      <c r="R181">
        <v>75</v>
      </c>
      <c r="S181" s="7">
        <v>0.86</v>
      </c>
    </row>
    <row r="182" spans="1:19" x14ac:dyDescent="0.25">
      <c r="A182" s="2" t="s">
        <v>283</v>
      </c>
      <c r="B182" s="4" t="s">
        <v>282</v>
      </c>
      <c r="C182" s="5">
        <v>20890.166430417266</v>
      </c>
      <c r="D182" s="5">
        <v>31628.247175832028</v>
      </c>
      <c r="E182" s="5">
        <v>46.219000000000001</v>
      </c>
      <c r="F182" s="5">
        <v>98.052786359999999</v>
      </c>
      <c r="G182" s="5">
        <v>2.1</v>
      </c>
      <c r="H182" s="5">
        <v>80.775609756097566</v>
      </c>
      <c r="I182" s="5">
        <v>8.4982395200000003</v>
      </c>
      <c r="J182" s="5">
        <v>2688.6975097700001</v>
      </c>
      <c r="K182" s="5">
        <v>71.749023440000002</v>
      </c>
      <c r="L182" s="5">
        <v>3.1800959099999999</v>
      </c>
      <c r="M182" s="5">
        <f t="shared" si="11"/>
        <v>68.568923949999999</v>
      </c>
      <c r="N182" s="5">
        <v>68.568923949999999</v>
      </c>
      <c r="O182" s="5">
        <v>0</v>
      </c>
      <c r="P182" s="5">
        <v>28.25742722</v>
      </c>
      <c r="Q182" s="5"/>
      <c r="R182">
        <v>77</v>
      </c>
      <c r="S182" s="7">
        <v>0.91700000000000004</v>
      </c>
    </row>
    <row r="183" spans="1:19" x14ac:dyDescent="0.25">
      <c r="A183" s="2" t="s">
        <v>285</v>
      </c>
      <c r="B183" s="4" t="s">
        <v>284</v>
      </c>
      <c r="C183" s="5">
        <v>51545.483609532152</v>
      </c>
      <c r="D183" s="5">
        <v>49103.133433870622</v>
      </c>
      <c r="E183" s="5">
        <v>13.447000000000003</v>
      </c>
      <c r="F183" s="5">
        <v>99.267131160000005</v>
      </c>
      <c r="G183" s="5">
        <v>2.2999999999999998</v>
      </c>
      <c r="H183" s="5">
        <v>82.2048780487805</v>
      </c>
      <c r="I183" s="5">
        <v>10.804183959999998</v>
      </c>
      <c r="J183" s="5">
        <v>5333.40234375</v>
      </c>
      <c r="K183" s="5">
        <v>83.960990909999992</v>
      </c>
      <c r="L183" s="5">
        <v>83.960990909999992</v>
      </c>
      <c r="M183" s="5">
        <f t="shared" si="11"/>
        <v>0</v>
      </c>
      <c r="N183" s="5"/>
      <c r="O183" s="5"/>
      <c r="P183" s="5">
        <v>16.03900719</v>
      </c>
      <c r="Q183" s="5">
        <v>0</v>
      </c>
      <c r="R183">
        <v>86</v>
      </c>
      <c r="S183" s="7">
        <v>0.94499999999999995</v>
      </c>
    </row>
    <row r="184" spans="1:19" x14ac:dyDescent="0.25">
      <c r="A184" s="2" t="s">
        <v>415</v>
      </c>
      <c r="B184" s="4" t="s">
        <v>286</v>
      </c>
      <c r="C184" s="5">
        <v>3680.3494728377518</v>
      </c>
      <c r="D184" s="5">
        <v>8813.0087815351053</v>
      </c>
      <c r="E184" s="5">
        <v>76.7</v>
      </c>
      <c r="F184" s="5">
        <v>60.687390409999999</v>
      </c>
      <c r="G184" s="5">
        <v>45.2</v>
      </c>
      <c r="H184" s="5">
        <v>55.359000000000002</v>
      </c>
      <c r="I184" s="5">
        <v>7.0595068899999998</v>
      </c>
      <c r="J184" s="5">
        <v>622.06329346000007</v>
      </c>
      <c r="K184" s="5">
        <v>52.82838439999999</v>
      </c>
      <c r="L184" s="5">
        <v>50.987861630000012</v>
      </c>
      <c r="M184" s="5">
        <f t="shared" si="11"/>
        <v>0</v>
      </c>
      <c r="N184" s="5"/>
      <c r="O184" s="5"/>
      <c r="P184" s="5">
        <v>47.17161560000001</v>
      </c>
      <c r="Q184" s="5"/>
      <c r="R184">
        <v>54</v>
      </c>
      <c r="S184" s="7">
        <v>0.61099999999999999</v>
      </c>
    </row>
    <row r="185" spans="1:19" x14ac:dyDescent="0.25">
      <c r="A185" s="2" t="s">
        <v>416</v>
      </c>
      <c r="B185" s="4" t="s">
        <v>417</v>
      </c>
      <c r="C185" s="5">
        <v>32274.890552435903</v>
      </c>
      <c r="D185" s="5">
        <v>38211.833186708544</v>
      </c>
      <c r="E185" s="5">
        <v>0</v>
      </c>
      <c r="F185" s="5">
        <v>98.781026560000001</v>
      </c>
      <c r="G185" s="5"/>
      <c r="H185" s="5">
        <v>77.219512195121965</v>
      </c>
      <c r="I185" s="5"/>
      <c r="J185" s="5"/>
      <c r="K185" s="5"/>
      <c r="L185" s="5"/>
      <c r="M185" s="5"/>
      <c r="N185" s="5"/>
      <c r="O185" s="5"/>
      <c r="P185" s="5"/>
      <c r="Q185" s="5"/>
      <c r="S185" s="3"/>
    </row>
    <row r="186" spans="1:19" x14ac:dyDescent="0.25">
      <c r="A186" s="2" t="s">
        <v>288</v>
      </c>
      <c r="B186" s="4" t="s">
        <v>287</v>
      </c>
      <c r="C186" s="5">
        <v>14745.341462028762</v>
      </c>
      <c r="D186" s="5">
        <v>24067.194626536293</v>
      </c>
      <c r="E186" s="5">
        <v>44.6</v>
      </c>
      <c r="F186" s="5">
        <v>100</v>
      </c>
      <c r="G186" s="5">
        <v>12.7</v>
      </c>
      <c r="H186" s="5">
        <v>74.295121951219528</v>
      </c>
      <c r="I186" s="5">
        <v>4.5895318999999999</v>
      </c>
      <c r="J186" s="5">
        <v>1086.45080566</v>
      </c>
      <c r="K186" s="5">
        <v>70.711151120000011</v>
      </c>
      <c r="L186" s="5">
        <v>70.711151120000011</v>
      </c>
      <c r="M186" s="5">
        <f>SUM(N186:O186)</f>
        <v>0</v>
      </c>
      <c r="N186" s="5"/>
      <c r="O186" s="5"/>
      <c r="P186" s="5">
        <v>29.288848880000007</v>
      </c>
      <c r="Q186" s="5"/>
      <c r="R186">
        <v>66</v>
      </c>
      <c r="S186" s="7">
        <v>0.79600000000000004</v>
      </c>
    </row>
    <row r="187" spans="1:19" x14ac:dyDescent="0.25">
      <c r="A187" s="2" t="s">
        <v>418</v>
      </c>
      <c r="B187" s="4" t="s">
        <v>289</v>
      </c>
      <c r="C187" s="5">
        <v>916.3580330644478</v>
      </c>
      <c r="D187" s="5"/>
      <c r="E187" s="5">
        <v>47.832000000000001</v>
      </c>
      <c r="F187" s="5">
        <v>90.131757019999995</v>
      </c>
      <c r="G187" s="5">
        <v>25.6</v>
      </c>
      <c r="H187" s="5">
        <v>69.908000000000001</v>
      </c>
      <c r="I187" s="5"/>
      <c r="J187" s="5"/>
      <c r="K187" s="5"/>
      <c r="L187" s="5"/>
      <c r="M187" s="5"/>
      <c r="N187" s="5"/>
      <c r="O187" s="5"/>
      <c r="P187" s="5"/>
      <c r="Q187" s="5"/>
      <c r="R187">
        <v>54</v>
      </c>
      <c r="S187" s="7">
        <v>0.56699999999999995</v>
      </c>
    </row>
    <row r="188" spans="1:19" x14ac:dyDescent="0.25">
      <c r="A188" s="2" t="s">
        <v>419</v>
      </c>
      <c r="B188" s="4" t="s">
        <v>420</v>
      </c>
      <c r="C188" s="5">
        <v>26183.885044053477</v>
      </c>
      <c r="D188" s="5">
        <v>24098.850658439827</v>
      </c>
      <c r="E188" s="5">
        <v>7.8050000000000068</v>
      </c>
      <c r="F188" s="5">
        <v>87.988636360000001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S188" s="3"/>
    </row>
    <row r="189" spans="1:19" x14ac:dyDescent="0.25">
      <c r="A189" s="2" t="s">
        <v>291</v>
      </c>
      <c r="B189" s="4" t="s">
        <v>290</v>
      </c>
      <c r="C189" s="5">
        <v>776.01975228426159</v>
      </c>
      <c r="D189" s="5">
        <v>1820.0599087616997</v>
      </c>
      <c r="E189" s="5">
        <v>77.484999999999999</v>
      </c>
      <c r="F189" s="5">
        <v>11.01336536</v>
      </c>
      <c r="G189" s="5">
        <v>75.7</v>
      </c>
      <c r="H189" s="5">
        <v>53.137</v>
      </c>
      <c r="I189" s="5">
        <v>4.5239543900000001</v>
      </c>
      <c r="J189" s="5">
        <v>82.339546200000001</v>
      </c>
      <c r="K189" s="5">
        <v>28.374290469999995</v>
      </c>
      <c r="L189" s="5">
        <v>28.374290469999995</v>
      </c>
      <c r="M189" s="5">
        <f t="shared" ref="M189:M207" si="12">SUM(N189:O189)</f>
        <v>0</v>
      </c>
      <c r="N189" s="5"/>
      <c r="O189" s="5"/>
      <c r="P189" s="5">
        <v>71.625709529999995</v>
      </c>
      <c r="Q189" s="5"/>
      <c r="R189">
        <v>28</v>
      </c>
      <c r="S189" s="7">
        <v>0.39800000000000002</v>
      </c>
    </row>
    <row r="190" spans="1:19" x14ac:dyDescent="0.25">
      <c r="A190" s="2" t="s">
        <v>293</v>
      </c>
      <c r="B190" s="4" t="s">
        <v>292</v>
      </c>
      <c r="C190" s="5">
        <v>570.90996717530766</v>
      </c>
      <c r="D190" s="5">
        <v>1397.3324017002085</v>
      </c>
      <c r="E190" s="5">
        <v>59.9</v>
      </c>
      <c r="F190" s="5">
        <v>16.151414490000001</v>
      </c>
      <c r="G190" s="5">
        <v>50.8</v>
      </c>
      <c r="H190" s="5">
        <v>59.927</v>
      </c>
      <c r="I190" s="5">
        <v>4.9564661999999995</v>
      </c>
      <c r="J190" s="5">
        <v>93.444442749999993</v>
      </c>
      <c r="K190" s="5">
        <v>32.966567989999994</v>
      </c>
      <c r="L190" s="5">
        <v>30.452936169999994</v>
      </c>
      <c r="M190" s="5">
        <f t="shared" si="12"/>
        <v>2.5136303899999994</v>
      </c>
      <c r="N190" s="5">
        <v>2.5136303899999994</v>
      </c>
      <c r="O190" s="5">
        <v>0</v>
      </c>
      <c r="P190" s="5">
        <v>67.033432009999999</v>
      </c>
      <c r="Q190" s="5"/>
      <c r="R190">
        <v>40</v>
      </c>
      <c r="S190" s="7">
        <v>0.51500000000000001</v>
      </c>
    </row>
    <row r="191" spans="1:19" x14ac:dyDescent="0.25">
      <c r="A191" s="2" t="s">
        <v>295</v>
      </c>
      <c r="B191" s="4" t="s">
        <v>294</v>
      </c>
      <c r="C191" s="5">
        <v>5840.0530668779757</v>
      </c>
      <c r="D191" s="5">
        <v>15822.370993481125</v>
      </c>
      <c r="E191" s="5">
        <v>52.305999999999997</v>
      </c>
      <c r="F191" s="5">
        <v>97.10370657</v>
      </c>
      <c r="G191" s="5">
        <v>9.3000000000000007</v>
      </c>
      <c r="H191" s="5">
        <v>76.090999999999994</v>
      </c>
      <c r="I191" s="5">
        <v>3.6678888799999996</v>
      </c>
      <c r="J191" s="5">
        <v>580.34704590000001</v>
      </c>
      <c r="K191" s="5">
        <v>77.414482120000002</v>
      </c>
      <c r="L191" s="5">
        <v>66.093681339999989</v>
      </c>
      <c r="M191" s="5">
        <f t="shared" si="12"/>
        <v>11.320803400000001</v>
      </c>
      <c r="N191" s="5">
        <v>8.8459339100000012</v>
      </c>
      <c r="O191" s="5">
        <v>2.4748694899999997</v>
      </c>
      <c r="P191" s="5">
        <v>22.292690279999995</v>
      </c>
      <c r="Q191" s="5">
        <v>0.29282546000000004</v>
      </c>
      <c r="R191">
        <v>75</v>
      </c>
      <c r="S191" s="7">
        <v>0.77700000000000002</v>
      </c>
    </row>
    <row r="192" spans="1:19" x14ac:dyDescent="0.25">
      <c r="A192" s="2" t="s">
        <v>297</v>
      </c>
      <c r="B192" s="4" t="s">
        <v>296</v>
      </c>
      <c r="C192" s="5">
        <v>978.40498118060532</v>
      </c>
      <c r="D192" s="5">
        <v>3150.4271143730975</v>
      </c>
      <c r="E192" s="5">
        <v>73.257999999999996</v>
      </c>
      <c r="F192" s="5">
        <v>95.316544519999994</v>
      </c>
      <c r="G192" s="5">
        <v>32.6</v>
      </c>
      <c r="H192" s="5">
        <v>70.137</v>
      </c>
      <c r="I192" s="5">
        <v>6.9073595999999977</v>
      </c>
      <c r="J192" s="5">
        <v>206.61566162</v>
      </c>
      <c r="K192" s="5">
        <v>33.149883270000004</v>
      </c>
      <c r="L192" s="5">
        <v>33.149883270000004</v>
      </c>
      <c r="M192" s="5">
        <f t="shared" si="12"/>
        <v>0</v>
      </c>
      <c r="N192" s="5"/>
      <c r="O192" s="5"/>
      <c r="P192" s="5">
        <v>66.847129819999992</v>
      </c>
      <c r="Q192" s="5"/>
      <c r="R192">
        <v>62</v>
      </c>
      <c r="S192" s="7">
        <v>0.66800000000000004</v>
      </c>
    </row>
    <row r="193" spans="1:19" x14ac:dyDescent="0.25">
      <c r="A193" s="2" t="s">
        <v>299</v>
      </c>
      <c r="B193" s="4" t="s">
        <v>298</v>
      </c>
      <c r="C193" s="5">
        <v>6432.6853253849422</v>
      </c>
      <c r="D193" s="5">
        <v>13690.614114342867</v>
      </c>
      <c r="E193" s="5">
        <v>49.683</v>
      </c>
      <c r="F193" s="5">
        <v>97.39979056</v>
      </c>
      <c r="G193" s="5">
        <v>36.4</v>
      </c>
      <c r="H193" s="5">
        <v>67.703999999999994</v>
      </c>
      <c r="I193" s="5">
        <v>6.2979364399999991</v>
      </c>
      <c r="J193" s="5">
        <v>862.22558593999997</v>
      </c>
      <c r="K193" s="5">
        <v>23.955883030000003</v>
      </c>
      <c r="L193" s="5">
        <v>23.955883030000003</v>
      </c>
      <c r="M193" s="5">
        <f t="shared" si="12"/>
        <v>0</v>
      </c>
      <c r="N193" s="5"/>
      <c r="O193" s="5"/>
      <c r="P193" s="5">
        <v>76.044120789999994</v>
      </c>
      <c r="Q193" s="5"/>
      <c r="R193">
        <v>69</v>
      </c>
      <c r="S193" s="7">
        <v>0.71499999999999997</v>
      </c>
    </row>
    <row r="194" spans="1:19" x14ac:dyDescent="0.25">
      <c r="A194" s="2" t="s">
        <v>301</v>
      </c>
      <c r="B194" s="4" t="s">
        <v>300</v>
      </c>
      <c r="C194" s="5">
        <v>1332.7918555137783</v>
      </c>
      <c r="D194" s="5">
        <v>2912.7363811195528</v>
      </c>
      <c r="E194" s="5">
        <v>70.510000000000005</v>
      </c>
      <c r="F194" s="5">
        <v>51.343649919999997</v>
      </c>
      <c r="G194" s="5">
        <v>42.8</v>
      </c>
      <c r="H194" s="5">
        <v>68.459000000000003</v>
      </c>
      <c r="I194" s="5">
        <v>7.6721658700000006</v>
      </c>
      <c r="J194" s="5">
        <v>223.41087340999997</v>
      </c>
      <c r="K194" s="5">
        <f>L194+P194</f>
        <v>88.688765529999998</v>
      </c>
      <c r="L194" s="5">
        <v>76.373130799999998</v>
      </c>
      <c r="M194" s="5">
        <f t="shared" si="12"/>
        <v>0</v>
      </c>
      <c r="N194" s="5"/>
      <c r="O194" s="5"/>
      <c r="P194" s="5">
        <v>12.315634729999999</v>
      </c>
      <c r="Q194" s="5">
        <v>0</v>
      </c>
      <c r="R194">
        <v>49</v>
      </c>
      <c r="S194" s="7">
        <v>0.60599999999999998</v>
      </c>
    </row>
    <row r="195" spans="1:19" x14ac:dyDescent="0.25">
      <c r="A195" s="2" t="s">
        <v>303</v>
      </c>
      <c r="B195" s="4" t="s">
        <v>302</v>
      </c>
      <c r="C195" s="5">
        <v>4336.239602726544</v>
      </c>
      <c r="D195" s="5">
        <v>5774.1699991827281</v>
      </c>
      <c r="E195" s="5">
        <v>76.724999999999994</v>
      </c>
      <c r="F195" s="5">
        <v>93.326175509999999</v>
      </c>
      <c r="G195" s="5">
        <v>10.7</v>
      </c>
      <c r="H195" s="5">
        <v>70.516999999999996</v>
      </c>
      <c r="I195" s="5">
        <v>4.683952810000001</v>
      </c>
      <c r="J195" s="5">
        <v>270.64816284</v>
      </c>
      <c r="K195" s="5">
        <v>79.59264374</v>
      </c>
      <c r="L195" s="5">
        <v>79.59264374</v>
      </c>
      <c r="M195" s="5">
        <f t="shared" si="12"/>
        <v>0</v>
      </c>
      <c r="N195" s="5"/>
      <c r="O195" s="5"/>
      <c r="P195" s="5">
        <v>20.407356259999997</v>
      </c>
      <c r="Q195" s="5"/>
      <c r="R195">
        <v>54</v>
      </c>
      <c r="S195" s="7">
        <v>0.72499999999999998</v>
      </c>
    </row>
    <row r="196" spans="1:19" x14ac:dyDescent="0.25">
      <c r="A196" s="2" t="s">
        <v>305</v>
      </c>
      <c r="B196" s="4" t="s">
        <v>304</v>
      </c>
      <c r="C196" s="5">
        <v>18214.460619356003</v>
      </c>
      <c r="D196" s="5">
        <v>27397.229201164959</v>
      </c>
      <c r="E196" s="5">
        <v>46.680999999999997</v>
      </c>
      <c r="F196" s="5">
        <v>93.571506360000001</v>
      </c>
      <c r="G196" s="5">
        <v>17.3</v>
      </c>
      <c r="H196" s="5">
        <v>72.941000000000003</v>
      </c>
      <c r="I196" s="5">
        <v>6.0786294900000009</v>
      </c>
      <c r="J196" s="5">
        <v>1665.3807373</v>
      </c>
      <c r="K196" s="5">
        <v>51.569030760000011</v>
      </c>
      <c r="L196" s="5">
        <v>51.56821441999999</v>
      </c>
      <c r="M196" s="5">
        <f t="shared" si="12"/>
        <v>8.181000000000001E-4</v>
      </c>
      <c r="N196" s="5">
        <v>8.181000000000001E-4</v>
      </c>
      <c r="O196" s="5">
        <v>0</v>
      </c>
      <c r="P196" s="5">
        <v>48.430965420000014</v>
      </c>
      <c r="Q196" s="5">
        <v>0</v>
      </c>
      <c r="R196">
        <v>72</v>
      </c>
      <c r="S196" s="7">
        <v>0.79600000000000004</v>
      </c>
    </row>
    <row r="197" spans="1:19" x14ac:dyDescent="0.25">
      <c r="A197" s="2" t="s">
        <v>307</v>
      </c>
      <c r="B197" s="4" t="s">
        <v>306</v>
      </c>
      <c r="C197" s="5">
        <v>4094.8362874451777</v>
      </c>
      <c r="D197" s="5">
        <v>10825.087447997275</v>
      </c>
      <c r="E197" s="5">
        <v>31.944000000000003</v>
      </c>
      <c r="F197" s="5">
        <v>92.123397370000006</v>
      </c>
      <c r="G197" s="5">
        <v>14.8</v>
      </c>
      <c r="H197" s="5">
        <v>75.921999999999997</v>
      </c>
      <c r="I197" s="5">
        <v>6.6215410200000022</v>
      </c>
      <c r="J197" s="5">
        <v>675.97503661999997</v>
      </c>
      <c r="K197" s="5">
        <v>55.754970549999982</v>
      </c>
      <c r="L197" s="5">
        <v>27.066617969999999</v>
      </c>
      <c r="M197" s="5">
        <f t="shared" si="12"/>
        <v>28.554519649999992</v>
      </c>
      <c r="N197" s="5">
        <v>28.554519649999992</v>
      </c>
      <c r="O197" s="5">
        <v>0</v>
      </c>
      <c r="P197" s="5">
        <v>44.242168430000007</v>
      </c>
      <c r="Q197" s="5">
        <v>0</v>
      </c>
      <c r="R197">
        <v>66</v>
      </c>
      <c r="S197" s="7">
        <v>0.74</v>
      </c>
    </row>
    <row r="198" spans="1:19" x14ac:dyDescent="0.25">
      <c r="A198" s="2" t="s">
        <v>309</v>
      </c>
      <c r="B198" s="4" t="s">
        <v>308</v>
      </c>
      <c r="C198" s="5">
        <v>11006.279523964891</v>
      </c>
      <c r="D198" s="5">
        <v>25753.39051004644</v>
      </c>
      <c r="E198" s="5">
        <v>26.388999999999996</v>
      </c>
      <c r="F198" s="5">
        <v>96.427908250000002</v>
      </c>
      <c r="G198" s="5">
        <v>11.1</v>
      </c>
      <c r="H198" s="5">
        <v>76.531999999999996</v>
      </c>
      <c r="I198" s="5">
        <v>4.1169037799999995</v>
      </c>
      <c r="J198" s="5">
        <v>1060.2424316400002</v>
      </c>
      <c r="K198" s="5">
        <v>78.133201600000007</v>
      </c>
      <c r="L198" s="5">
        <v>21.860599520000001</v>
      </c>
      <c r="M198" s="5">
        <f t="shared" si="12"/>
        <v>56.272602079999999</v>
      </c>
      <c r="N198" s="5">
        <v>56.272602079999999</v>
      </c>
      <c r="O198" s="5">
        <v>0</v>
      </c>
      <c r="P198" s="5">
        <v>21.866592410000003</v>
      </c>
      <c r="Q198" s="5"/>
      <c r="R198">
        <v>77</v>
      </c>
      <c r="S198" s="7">
        <v>0.82</v>
      </c>
    </row>
    <row r="199" spans="1:19" x14ac:dyDescent="0.25">
      <c r="A199" s="2" t="s">
        <v>421</v>
      </c>
      <c r="B199" s="4" t="s">
        <v>422</v>
      </c>
      <c r="C199" s="5">
        <v>3197.7722519439362</v>
      </c>
      <c r="D199" s="5">
        <v>3613.7347663473352</v>
      </c>
      <c r="E199" s="5">
        <v>40.270000000000003</v>
      </c>
      <c r="F199" s="5">
        <v>83.659014650000003</v>
      </c>
      <c r="G199" s="5">
        <v>21.9</v>
      </c>
      <c r="H199" s="5">
        <v>66.16</v>
      </c>
      <c r="I199" s="5">
        <v>16.699592590000002</v>
      </c>
      <c r="J199" s="5">
        <v>600.89746093999986</v>
      </c>
      <c r="K199" s="5">
        <v>78.865470889999997</v>
      </c>
      <c r="L199" s="5">
        <v>78.865470889999997</v>
      </c>
      <c r="M199" s="5">
        <f t="shared" si="12"/>
        <v>0</v>
      </c>
      <c r="N199" s="5"/>
      <c r="O199" s="5"/>
      <c r="P199" s="5">
        <v>1.08180177</v>
      </c>
      <c r="Q199" s="5">
        <v>20.05272484</v>
      </c>
      <c r="R199">
        <v>50</v>
      </c>
      <c r="S199" s="3"/>
    </row>
    <row r="200" spans="1:19" x14ac:dyDescent="0.25">
      <c r="A200" s="2" t="s">
        <v>311</v>
      </c>
      <c r="B200" s="4" t="s">
        <v>310</v>
      </c>
      <c r="C200" s="5">
        <v>947.93335165840699</v>
      </c>
      <c r="D200" s="5">
        <v>2348.4434970770599</v>
      </c>
      <c r="E200" s="5">
        <v>68.382999999999996</v>
      </c>
      <c r="F200" s="5">
        <v>25.742115080000001</v>
      </c>
      <c r="G200" s="5">
        <v>40.9</v>
      </c>
      <c r="H200" s="5">
        <v>63.110999999999997</v>
      </c>
      <c r="I200" s="5">
        <v>3.6496992100000001</v>
      </c>
      <c r="J200" s="5">
        <v>83.211021419999994</v>
      </c>
      <c r="K200" s="5">
        <v>55.527515409999999</v>
      </c>
      <c r="L200" s="5">
        <v>49.011272429999998</v>
      </c>
      <c r="M200" s="5">
        <f t="shared" si="12"/>
        <v>6.5162429799999995</v>
      </c>
      <c r="N200" s="5">
        <v>6.5162429799999995</v>
      </c>
      <c r="O200" s="5">
        <v>0</v>
      </c>
      <c r="P200" s="5">
        <v>44.454360959999995</v>
      </c>
      <c r="Q200" s="5">
        <v>1.8127460000000001E-2</v>
      </c>
      <c r="R200">
        <v>41</v>
      </c>
      <c r="S200" s="7">
        <v>0.52900000000000003</v>
      </c>
    </row>
    <row r="201" spans="1:19" x14ac:dyDescent="0.25">
      <c r="A201" s="2" t="s">
        <v>313</v>
      </c>
      <c r="B201" s="4" t="s">
        <v>312</v>
      </c>
      <c r="C201" s="5">
        <v>847.2676289346565</v>
      </c>
      <c r="D201" s="5">
        <v>2128.7449554891577</v>
      </c>
      <c r="E201" s="5">
        <v>77.94</v>
      </c>
      <c r="F201" s="5">
        <v>19.112035590000001</v>
      </c>
      <c r="G201" s="5">
        <v>38.9</v>
      </c>
      <c r="H201" s="5">
        <v>61.372999999999998</v>
      </c>
      <c r="I201" s="5">
        <v>5.1123914700000004</v>
      </c>
      <c r="J201" s="5">
        <v>113.36191559000004</v>
      </c>
      <c r="K201" s="5">
        <v>18.848522190000001</v>
      </c>
      <c r="L201" s="5">
        <v>18.848522190000001</v>
      </c>
      <c r="M201" s="5">
        <f t="shared" si="12"/>
        <v>0</v>
      </c>
      <c r="N201" s="5"/>
      <c r="O201" s="5"/>
      <c r="P201" s="5">
        <v>81.151481630000006</v>
      </c>
      <c r="Q201" s="5"/>
      <c r="R201">
        <v>45</v>
      </c>
      <c r="S201" s="7">
        <v>0.54400000000000004</v>
      </c>
    </row>
    <row r="202" spans="1:19" x14ac:dyDescent="0.25">
      <c r="A202" s="2" t="s">
        <v>315</v>
      </c>
      <c r="B202" s="4" t="s">
        <v>314</v>
      </c>
      <c r="C202" s="5">
        <v>2124.6623187837999</v>
      </c>
      <c r="D202" s="5">
        <v>10164.327334085199</v>
      </c>
      <c r="E202" s="5">
        <v>30.938999999999993</v>
      </c>
      <c r="F202" s="5">
        <v>97.399253659999999</v>
      </c>
      <c r="G202" s="5">
        <v>8.1</v>
      </c>
      <c r="H202" s="5">
        <v>71.189512195121964</v>
      </c>
      <c r="I202" s="5">
        <v>7.7760934800000001</v>
      </c>
      <c r="J202" s="5">
        <v>753.84637451000015</v>
      </c>
      <c r="K202" s="5">
        <v>48.285354609999999</v>
      </c>
      <c r="L202" s="5">
        <v>48.285354609999999</v>
      </c>
      <c r="M202" s="5">
        <f t="shared" si="12"/>
        <v>0</v>
      </c>
      <c r="N202" s="5"/>
      <c r="O202" s="5"/>
      <c r="P202" s="5">
        <v>51.714641569999991</v>
      </c>
      <c r="Q202" s="5"/>
      <c r="R202">
        <v>63</v>
      </c>
      <c r="S202" s="7">
        <v>0.77900000000000003</v>
      </c>
    </row>
    <row r="203" spans="1:19" x14ac:dyDescent="0.25">
      <c r="A203" s="2" t="s">
        <v>317</v>
      </c>
      <c r="B203" s="4" t="s">
        <v>316</v>
      </c>
      <c r="C203" s="5">
        <v>15613.745968182426</v>
      </c>
      <c r="D203" s="5">
        <v>20217.560436564112</v>
      </c>
      <c r="E203" s="5">
        <v>4.9550000000000001</v>
      </c>
      <c r="F203" s="5">
        <v>96.613315130000004</v>
      </c>
      <c r="G203" s="5">
        <v>7.6</v>
      </c>
      <c r="H203" s="5">
        <v>77.369</v>
      </c>
      <c r="I203" s="5">
        <v>8.2922363299999997</v>
      </c>
      <c r="J203" s="5">
        <v>1821.2423095700003</v>
      </c>
      <c r="K203" s="5">
        <v>66.595512389999996</v>
      </c>
      <c r="L203" s="5">
        <v>18.513963699999998</v>
      </c>
      <c r="M203" s="5">
        <f t="shared" si="12"/>
        <v>48.0815506</v>
      </c>
      <c r="N203" s="5">
        <v>48.0815506</v>
      </c>
      <c r="O203" s="5">
        <v>0</v>
      </c>
      <c r="P203" s="5">
        <v>31.085023880000005</v>
      </c>
      <c r="Q203" s="5">
        <v>0</v>
      </c>
      <c r="R203">
        <v>78</v>
      </c>
      <c r="S203" s="7">
        <v>0.81699999999999995</v>
      </c>
    </row>
    <row r="204" spans="1:19" x14ac:dyDescent="0.25">
      <c r="A204" s="2" t="s">
        <v>423</v>
      </c>
      <c r="B204" s="4" t="s">
        <v>318</v>
      </c>
      <c r="C204" s="5">
        <v>56863.371495765183</v>
      </c>
      <c r="D204" s="5">
        <v>56863.371495765183</v>
      </c>
      <c r="E204" s="5">
        <v>18.328999999999994</v>
      </c>
      <c r="F204" s="5">
        <v>99.765524099999993</v>
      </c>
      <c r="G204" s="5">
        <v>5.8</v>
      </c>
      <c r="H204" s="5">
        <v>78.690243902439036</v>
      </c>
      <c r="I204" s="5">
        <v>16.524072650000001</v>
      </c>
      <c r="J204" s="5">
        <v>9392.06640625</v>
      </c>
      <c r="K204" s="5">
        <v>82.74812317</v>
      </c>
      <c r="L204" s="5">
        <v>27.072807310000002</v>
      </c>
      <c r="M204" s="5">
        <f t="shared" si="12"/>
        <v>55.675317769999999</v>
      </c>
      <c r="N204" s="5">
        <v>23.102701189999998</v>
      </c>
      <c r="O204" s="5">
        <v>32.572616580000002</v>
      </c>
      <c r="P204" s="5">
        <v>17.25187111</v>
      </c>
      <c r="Q204" s="5">
        <v>0</v>
      </c>
      <c r="R204">
        <v>81</v>
      </c>
      <c r="S204" s="7">
        <v>0.92600000000000005</v>
      </c>
    </row>
    <row r="205" spans="1:19" x14ac:dyDescent="0.25">
      <c r="A205" s="2" t="s">
        <v>320</v>
      </c>
      <c r="B205" s="4" t="s">
        <v>319</v>
      </c>
      <c r="C205" s="5">
        <v>2753.9710721994866</v>
      </c>
      <c r="D205" s="5">
        <v>6680.1847006768439</v>
      </c>
      <c r="E205" s="5">
        <v>49.25</v>
      </c>
      <c r="F205" s="5">
        <v>100</v>
      </c>
      <c r="G205" s="5">
        <v>17.3</v>
      </c>
      <c r="H205" s="5">
        <v>70.927999999999997</v>
      </c>
      <c r="I205" s="5">
        <v>4.9876050899999989</v>
      </c>
      <c r="J205" s="5">
        <v>320.14916991999996</v>
      </c>
      <c r="K205" s="5">
        <v>50.31628417999999</v>
      </c>
      <c r="L205" s="5">
        <v>50.31628036</v>
      </c>
      <c r="M205" s="5">
        <f t="shared" si="12"/>
        <v>0</v>
      </c>
      <c r="N205" s="5"/>
      <c r="O205" s="5"/>
      <c r="P205" s="5">
        <v>49.118659969999989</v>
      </c>
      <c r="Q205" s="5">
        <v>0.56505215000000009</v>
      </c>
      <c r="R205">
        <v>67</v>
      </c>
      <c r="S205" s="7">
        <v>0.72</v>
      </c>
    </row>
    <row r="206" spans="1:19" x14ac:dyDescent="0.25">
      <c r="A206" s="2" t="s">
        <v>424</v>
      </c>
      <c r="B206" s="4" t="s">
        <v>321</v>
      </c>
      <c r="C206" s="5">
        <v>6921.7024785815729</v>
      </c>
      <c r="D206" s="5">
        <v>11643.226922693699</v>
      </c>
      <c r="E206" s="5">
        <v>49.036000000000001</v>
      </c>
      <c r="F206" s="5">
        <v>87.184344899999999</v>
      </c>
      <c r="G206" s="5">
        <v>15.2</v>
      </c>
      <c r="H206" s="5">
        <v>72.094999999999999</v>
      </c>
      <c r="I206" s="5">
        <v>4.0840945199999998</v>
      </c>
      <c r="J206" s="5">
        <v>475.56167603000006</v>
      </c>
      <c r="K206" s="5">
        <v>65.91896057000001</v>
      </c>
      <c r="L206" s="5">
        <v>65.914459229999991</v>
      </c>
      <c r="M206" s="5">
        <f t="shared" si="12"/>
        <v>4.50096E-3</v>
      </c>
      <c r="N206" s="5">
        <v>4.50096E-3</v>
      </c>
      <c r="O206" s="5">
        <v>0</v>
      </c>
      <c r="P206" s="5">
        <v>34.081039429999997</v>
      </c>
      <c r="Q206" s="5"/>
      <c r="R206">
        <v>71</v>
      </c>
      <c r="S206" s="7">
        <v>0.73799999999999999</v>
      </c>
    </row>
    <row r="207" spans="1:19" x14ac:dyDescent="0.25">
      <c r="A207" s="2" t="s">
        <v>425</v>
      </c>
      <c r="B207" s="4" t="s">
        <v>322</v>
      </c>
      <c r="C207" s="5">
        <v>16055.645317382599</v>
      </c>
      <c r="D207" s="5">
        <v>16700</v>
      </c>
      <c r="E207" s="5">
        <v>11.846000000000004</v>
      </c>
      <c r="F207" s="5">
        <v>94.851264259999994</v>
      </c>
      <c r="G207" s="5">
        <v>16.399999999999999</v>
      </c>
      <c r="H207" s="5">
        <v>72.584000000000003</v>
      </c>
      <c r="I207" s="5">
        <v>4.3462886799999989</v>
      </c>
      <c r="J207" s="5">
        <v>744.75067138999998</v>
      </c>
      <c r="K207" s="5">
        <v>45.265602109999996</v>
      </c>
      <c r="L207" s="5">
        <v>31.397651669999998</v>
      </c>
      <c r="M207" s="5">
        <f t="shared" si="12"/>
        <v>13.867950440000005</v>
      </c>
      <c r="N207" s="5">
        <v>13.867950440000005</v>
      </c>
      <c r="O207" s="5">
        <v>0</v>
      </c>
      <c r="P207" s="5">
        <v>54.734397890000004</v>
      </c>
      <c r="Q207" s="5"/>
      <c r="R207">
        <v>71</v>
      </c>
      <c r="S207" s="7">
        <v>0.71099999999999997</v>
      </c>
    </row>
    <row r="208" spans="1:19" x14ac:dyDescent="0.25">
      <c r="A208" s="2" t="s">
        <v>426</v>
      </c>
      <c r="B208" s="4" t="s">
        <v>427</v>
      </c>
      <c r="C208" s="5"/>
      <c r="D208" s="5"/>
      <c r="E208" s="5">
        <v>53.417000000000002</v>
      </c>
      <c r="F208" s="5">
        <v>96.857979479999997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S208" s="3"/>
    </row>
    <row r="209" spans="1:19" x14ac:dyDescent="0.25">
      <c r="A209" s="2" t="s">
        <v>428</v>
      </c>
      <c r="B209" s="4" t="s">
        <v>429</v>
      </c>
      <c r="C209" s="5">
        <v>34007.352941176468</v>
      </c>
      <c r="D209" s="5"/>
      <c r="E209" s="5">
        <v>4.6500000000000057</v>
      </c>
      <c r="F209" s="5">
        <v>99.344016789999998</v>
      </c>
      <c r="G209" s="5"/>
      <c r="H209" s="5">
        <v>79.01707317073172</v>
      </c>
      <c r="I209" s="5"/>
      <c r="J209" s="5"/>
      <c r="K209" s="5"/>
      <c r="L209" s="5"/>
      <c r="M209" s="5"/>
      <c r="N209" s="5"/>
      <c r="O209" s="5"/>
      <c r="P209" s="5"/>
      <c r="Q209" s="5"/>
      <c r="S209" s="3"/>
    </row>
    <row r="210" spans="1:19" x14ac:dyDescent="0.25">
      <c r="A210" s="2" t="s">
        <v>324</v>
      </c>
      <c r="B210" s="4" t="s">
        <v>323</v>
      </c>
      <c r="C210" s="5">
        <v>2085.10134910739</v>
      </c>
      <c r="D210" s="5">
        <v>6102.6368690478184</v>
      </c>
      <c r="E210" s="5">
        <v>66.191000000000003</v>
      </c>
      <c r="F210" s="5">
        <v>80.758010409999997</v>
      </c>
      <c r="G210" s="5">
        <v>17.399999999999999</v>
      </c>
      <c r="H210" s="5">
        <v>75.11</v>
      </c>
      <c r="I210" s="5">
        <v>4.5654373199999991</v>
      </c>
      <c r="J210" s="5">
        <v>344.95898437999995</v>
      </c>
      <c r="K210" s="5">
        <v>46.080486300000004</v>
      </c>
      <c r="L210" s="5">
        <v>24.20576286</v>
      </c>
      <c r="M210" s="5">
        <f>SUM(N210:O210)</f>
        <v>21.784883500000007</v>
      </c>
      <c r="N210" s="5">
        <v>21.784883500000007</v>
      </c>
      <c r="O210" s="6">
        <v>0</v>
      </c>
      <c r="P210" s="5">
        <v>49.534717560000004</v>
      </c>
      <c r="Q210" s="5">
        <v>4.3847999599999996</v>
      </c>
      <c r="R210">
        <v>66</v>
      </c>
      <c r="S210" s="7">
        <v>0.70399999999999996</v>
      </c>
    </row>
    <row r="211" spans="1:19" x14ac:dyDescent="0.25">
      <c r="A211" s="2" t="s">
        <v>326</v>
      </c>
      <c r="B211" s="4" t="s">
        <v>325</v>
      </c>
      <c r="C211" s="5">
        <v>2695.6661859797309</v>
      </c>
      <c r="D211" s="5">
        <v>2832.1783368352972</v>
      </c>
      <c r="E211" s="5">
        <v>75.039000000000001</v>
      </c>
      <c r="F211" s="5">
        <v>53.390093329999999</v>
      </c>
      <c r="G211" s="5">
        <v>23.6</v>
      </c>
      <c r="H211" s="5">
        <v>69.869</v>
      </c>
      <c r="I211" s="5">
        <v>4.3216834099999994</v>
      </c>
      <c r="J211" s="5">
        <v>122.69769287</v>
      </c>
      <c r="K211" s="5">
        <v>77.815017699999999</v>
      </c>
      <c r="L211" s="5">
        <v>77.815017699999999</v>
      </c>
      <c r="M211" s="5">
        <f>SUM(N211:O211)</f>
        <v>0</v>
      </c>
      <c r="N211" s="5"/>
      <c r="O211" s="5"/>
      <c r="P211" s="5">
        <v>22.184982300000001</v>
      </c>
      <c r="Q211" s="5"/>
      <c r="R211">
        <v>49</v>
      </c>
      <c r="S211" s="7">
        <v>0.60899999999999999</v>
      </c>
    </row>
    <row r="212" spans="1:19" x14ac:dyDescent="0.25">
      <c r="A212" s="2" t="s">
        <v>328</v>
      </c>
      <c r="B212" s="4" t="s">
        <v>327</v>
      </c>
      <c r="C212" s="5">
        <v>4071.9269593030654</v>
      </c>
      <c r="D212" s="5">
        <v>5825.0586396206254</v>
      </c>
      <c r="E212" s="5">
        <v>81.085999999999999</v>
      </c>
      <c r="F212" s="5">
        <v>96.264214370000005</v>
      </c>
      <c r="G212" s="5">
        <v>15.9</v>
      </c>
      <c r="H212" s="5">
        <v>72.73</v>
      </c>
      <c r="I212" s="5">
        <v>5.7875504500000012</v>
      </c>
      <c r="J212" s="5">
        <v>337.28143311000008</v>
      </c>
      <c r="K212" s="5">
        <v>79.222351070000002</v>
      </c>
      <c r="L212" s="5">
        <v>79.222358700000015</v>
      </c>
      <c r="M212" s="5">
        <f>SUM(N212:O212)</f>
        <v>0</v>
      </c>
      <c r="N212" s="5"/>
      <c r="O212" s="5"/>
      <c r="P212" s="5">
        <v>12.262015340000001</v>
      </c>
      <c r="Q212" s="5">
        <v>8.5156354900000011</v>
      </c>
      <c r="R212">
        <v>53</v>
      </c>
      <c r="S212" s="7">
        <v>0.71499999999999997</v>
      </c>
    </row>
    <row r="213" spans="1:19" x14ac:dyDescent="0.25">
      <c r="A213" s="2" t="s">
        <v>430</v>
      </c>
      <c r="B213" s="4" t="s">
        <v>431</v>
      </c>
      <c r="C213" s="5">
        <v>3520.7664492743993</v>
      </c>
      <c r="D213" s="5">
        <v>9357.1351357727999</v>
      </c>
      <c r="E213" s="5"/>
      <c r="F213" s="5"/>
      <c r="G213" s="5"/>
      <c r="H213" s="5">
        <v>71.346341463414632</v>
      </c>
      <c r="I213" s="5"/>
      <c r="J213" s="5"/>
      <c r="K213" s="5"/>
      <c r="L213" s="5"/>
      <c r="M213" s="5"/>
      <c r="N213" s="5"/>
      <c r="O213" s="5"/>
      <c r="P213" s="5"/>
      <c r="Q213" s="5"/>
      <c r="S213" s="3"/>
    </row>
    <row r="214" spans="1:19" x14ac:dyDescent="0.25">
      <c r="A214" s="2" t="s">
        <v>432</v>
      </c>
      <c r="B214" s="4" t="s">
        <v>329</v>
      </c>
      <c r="C214" s="5">
        <v>1601.830062811621</v>
      </c>
      <c r="D214" s="5">
        <v>3200</v>
      </c>
      <c r="E214" s="5">
        <v>65.222999999999999</v>
      </c>
      <c r="F214" s="5">
        <v>51.568789979999998</v>
      </c>
      <c r="G214" s="5">
        <v>46.1</v>
      </c>
      <c r="H214" s="5">
        <v>66.084999999999994</v>
      </c>
      <c r="I214" s="5">
        <v>4.2528576899999999</v>
      </c>
      <c r="J214" s="5">
        <v>110.01007842999999</v>
      </c>
      <c r="K214" s="5">
        <v>14.496566769999998</v>
      </c>
      <c r="L214" s="5">
        <v>14.496566769999998</v>
      </c>
      <c r="M214" s="5">
        <f>SUM(N214:O214)</f>
        <v>0</v>
      </c>
      <c r="N214" s="5"/>
      <c r="O214" s="5"/>
      <c r="P214" s="5">
        <v>85.503433229999999</v>
      </c>
      <c r="Q214" s="5"/>
      <c r="R214">
        <v>43</v>
      </c>
      <c r="S214" s="7">
        <v>0.47</v>
      </c>
    </row>
    <row r="215" spans="1:19" x14ac:dyDescent="0.25">
      <c r="A215" s="2" t="s">
        <v>331</v>
      </c>
      <c r="B215" s="4" t="s">
        <v>330</v>
      </c>
      <c r="C215" s="5">
        <v>6259.8396811057073</v>
      </c>
      <c r="D215" s="5">
        <v>13701.945389508088</v>
      </c>
      <c r="E215" s="5">
        <v>35.171999999999997</v>
      </c>
      <c r="F215" s="5">
        <v>73.913538900000006</v>
      </c>
      <c r="G215" s="5">
        <v>28.6</v>
      </c>
      <c r="H215" s="5">
        <v>62.649000000000001</v>
      </c>
      <c r="I215" s="5">
        <v>8.7901897399999989</v>
      </c>
      <c r="J215" s="5">
        <v>1103.37341309</v>
      </c>
      <c r="K215" s="5">
        <v>46.609466549999993</v>
      </c>
      <c r="L215" s="5">
        <v>46.609466549999993</v>
      </c>
      <c r="M215" s="5">
        <f>SUM(N215:O215)</f>
        <v>0</v>
      </c>
      <c r="N215" s="5"/>
      <c r="O215" s="5"/>
      <c r="P215" s="5">
        <v>53.390533450000007</v>
      </c>
      <c r="Q215" s="5"/>
      <c r="R215">
        <v>64</v>
      </c>
      <c r="S215" s="7">
        <v>0.70899999999999996</v>
      </c>
    </row>
    <row r="216" spans="1:19" x14ac:dyDescent="0.25">
      <c r="A216" s="2" t="s">
        <v>333</v>
      </c>
      <c r="B216" s="4" t="s">
        <v>332</v>
      </c>
      <c r="C216" s="5">
        <v>1338.2909270818832</v>
      </c>
      <c r="D216" s="5">
        <v>3430.4002870689792</v>
      </c>
      <c r="E216" s="5">
        <v>58.093000000000004</v>
      </c>
      <c r="F216" s="5">
        <v>29.70884126</v>
      </c>
      <c r="G216" s="5">
        <v>46.9</v>
      </c>
      <c r="H216" s="5">
        <v>61.737000000000002</v>
      </c>
      <c r="I216" s="5">
        <v>4.4351024600000004</v>
      </c>
      <c r="J216" s="5">
        <v>152.14184570000003</v>
      </c>
      <c r="K216" s="5">
        <v>54.930740360000001</v>
      </c>
      <c r="L216" s="5">
        <v>54.930740360000001</v>
      </c>
      <c r="M216" s="5">
        <f>SUM(N216:O216)</f>
        <v>0</v>
      </c>
      <c r="N216" s="5"/>
      <c r="O216" s="5"/>
      <c r="P216" s="5">
        <v>44.328586579999993</v>
      </c>
      <c r="Q216" s="5">
        <v>0.74067037999999996</v>
      </c>
      <c r="R216">
        <v>50</v>
      </c>
      <c r="S216" s="7">
        <v>0.58399999999999996</v>
      </c>
    </row>
    <row r="217" spans="1:19" x14ac:dyDescent="0.25">
      <c r="A217" s="2" t="s">
        <v>335</v>
      </c>
      <c r="B217" s="4" t="s">
        <v>334</v>
      </c>
      <c r="C217" s="5">
        <v>1445.0697021319843</v>
      </c>
      <c r="D217" s="5">
        <v>2679.5076148374173</v>
      </c>
      <c r="E217" s="5">
        <v>67.614999999999995</v>
      </c>
      <c r="F217" s="5">
        <v>38.120646499999999</v>
      </c>
      <c r="G217" s="5">
        <v>42.1</v>
      </c>
      <c r="H217" s="5">
        <v>59.533999999999999</v>
      </c>
      <c r="I217" s="5">
        <v>7.4520660499999991</v>
      </c>
      <c r="J217" s="5">
        <v>199.67765771000001</v>
      </c>
      <c r="K217" s="5">
        <v>27.935047730000001</v>
      </c>
      <c r="L217" s="5">
        <v>27.935047730000001</v>
      </c>
      <c r="M217" s="5">
        <f>SUM(N217:O217)</f>
        <v>0</v>
      </c>
      <c r="N217" s="5"/>
      <c r="O217" s="5"/>
      <c r="P217" s="5">
        <v>72.06495227000002</v>
      </c>
      <c r="Q217" s="5"/>
      <c r="R217">
        <v>55</v>
      </c>
      <c r="S217" s="7">
        <v>0.57099999999999995</v>
      </c>
    </row>
    <row r="218" spans="1:19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3"/>
    </row>
  </sheetData>
  <sortState xmlns:xlrd2="http://schemas.microsoft.com/office/spreadsheetml/2017/richdata2" ref="A2:S218">
    <sortCondition ref="B2:B218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</dc:creator>
  <cp:lastModifiedBy>Dimitri</cp:lastModifiedBy>
  <dcterms:created xsi:type="dcterms:W3CDTF">2022-05-17T15:45:40Z</dcterms:created>
  <dcterms:modified xsi:type="dcterms:W3CDTF">2022-07-12T23:48:55Z</dcterms:modified>
</cp:coreProperties>
</file>